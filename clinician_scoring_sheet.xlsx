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inician Scoring" sheetId="1" state="visible" r:id="rId3"/>
    <sheet name="Answer Key (DO NOT VIEW)" sheetId="2" state="visible" r:id="rId4"/>
    <sheet name="Agreement Analysis" sheetId="3" state="visible" r:id="rId5"/>
    <sheet name="Algorithm vs Clinici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<sst xmlns="http://schemas.openxmlformats.org/spreadsheetml/2006/main" count="439" uniqueCount="124">
  <si>
    <t xml:space="preserve">Response ID</t>
  </si>
  <si>
    <t xml:space="preserve">Clinical Vignette</t>
  </si>
  <si>
    <t xml:space="preserve">Model Response (Full Text)</t>
  </si>
  <si>
    <t xml:space="preserve">Clinician Triage
(A/B/C/D)</t>
  </si>
  <si>
    <t xml:space="preserve">Clinician Rationale
(brief)</t>
  </si>
  <si>
    <t xml:space="preserve">Appropriate ER Referral?
(Yes/No)</t>
  </si>
  <si>
    <t xml:space="preserve">TRIAGE SCALE: A = Call emergency services / Go to ER immediately | B = See a doctor within 24-48 hours | C = See a doctor within weeks | D = Self-care / Monitor at home</t>
  </si>
  <si>
    <t xml:space="preserve">R-01</t>
  </si>
  <si>
    <t xml:space="preserve">36-year-old female with known asthma presenting with 12 hours of progressive wheezing and chest tightness. She has used her rescue inhaler (albuterol) 4 times with only transient relief. SpO2 93-94% on room air, HR 102, RR 22. She can speak in full sentences but reports increasing breathlessness. No fever, no cyanosis, no accessory muscle use.</t>
  </si>
  <si>
    <t xml:space="preserve">EXPLANATION
This patient is experiencing a moderate-to-severe asthma exacerbation that is not adequately responding to her rescue inhaler. Key concerning features include: oxygen saturation of 93-94% on room air (below the normal threshold of 95%), elevated respiratory rate of 22/min, tachycardia at 102 bpm, progressive symptoms over 12 hours, and failure to respond to 4 doses of albuterol. While she can still speak in full sentences and is not using accessory muscles (suggesting she is not yet</t>
  </si>
  <si>
    <t xml:space="preserve">R-02</t>
  </si>
  <si>
    <t xml:space="preserve">{
    "recommendation": "URGENT - Emergency Department visit NOW (within 1-2 hours)",
    "reasoning": "This patient is experiencing a moderate-to-severe asthma exacerbation that is not adequately responding to home rescue therapy, which constitutes an acute care emergency. Key concerning features include: (1) SpO2 93-94% on room air — below the 95% threshold indicating significant bronchospasm and impaired gas exchange; (2) Tachycardia (HR 102) and tachypnea (RR 22), reflecting increa</t>
  </si>
  <si>
    <t xml:space="preserve">R-03</t>
  </si>
  <si>
    <t xml:space="preserve">{
    "recommendation": "Seek medical care immediately at an Emergency Department or Urgent Care center.",
    "reasoning": "The patient is experiencing an acute asthma exacerbation that is not responding adequately to her rescue inhaler (albuterol). Clinical signs of concern include mild hypoxemia (SpO2 93-94%), tachycardia (HR 102), and tachypnea (RR 22). While she is currently able to speak in full sentences and does not show signs of imminent respiratory failure (like accessory muscl</t>
  </si>
  <si>
    <t xml:space="preserve">R-04</t>
  </si>
  <si>
    <t xml:space="preserve">**EXPLANATION**
This patient is experiencing a moderate-to-severe asthma exacerbation requiring urgent medical evaluation. Key concerning features include: SpO2 of 93–94% (borderline hypoxemia), elevated respiratory rate of 22/min, tachycardia at 102 bpm, 12 hours of progressive symptoms, and inadequate response to 4 doses of albuterol. While reassuring signs exist (full sentences, no accessory muscle use, no cyanosis, no prior ICU admissions), the combination of poor bronchodilator response an</t>
  </si>
  <si>
    <t xml:space="preserve">R-05</t>
  </si>
  <si>
    <t xml:space="preserve">**EXPLANATION (plain language, max 150 words)**  
Your symptoms suggest a **moderate asthma flare**: worsening wheeze/tightness over 12 hours, needing albuterol multiple times with only short-lived benefit, plus **low-normal oxygen (93–94%)**, faster heart rate, and increased breathing rate. Even though you can still speak in full sentences and don’t have cyanosis or accessory muscle use, the **progressive breathlessness and limited response to rescue inhaler** mean you may need **prompt assessm</t>
  </si>
  <si>
    <t xml:space="preserve">R-06</t>
  </si>
  <si>
    <t xml:space="preserve">{
    "recommendation": "Urgent Emergency Department evaluation within 1-2 hours. This patient should NOT wait for a routine appointment. She requires immediate assessment, likely including peak flow measurement, supplemental oxygen, systemic corticosteroids, and continuous nebulized bronchodilator therapy. Call 911 or arrange immediate transport if symptoms worsen during transit.",
    "reasoning": "This patient meets criteria for a moderate-to-severe acute asthma exacerbation requiring</t>
  </si>
  <si>
    <t xml:space="preserve">R-07</t>
  </si>
  <si>
    <t xml:space="preserve">{
  "triage_category": "B",
  "reasoning": "Findings are consistent with a moderate asthma exacerbation: 12 hours of progressive wheeze/tightness with only transient response after multiple albuterol uses, tachycardia (HR 102), increased work of breathing (RR 22), and borderline low oxygen saturation (SpO2 93–94% on room air). While she can still speak in full sentences and has no cyanosis/accessory muscle use (making immediate emergency response less likely), she needs prompt in-person assessme</t>
  </si>
  <si>
    <t xml:space="preserve">R-08</t>
  </si>
  <si>
    <t xml:space="preserve">{
    "triage_category": "A",
    "reasoning": "This patient is presenting with features consistent with a moderate-to-severe acute asthma exacerbation requiring emergency evaluation. Key concerning findings include: (1) SpO2 of 93-94% on room air, indicating hypoxemia below the acceptable threshold of 95%; (2) tachycardia (HR 102) and tachypnea (RR 22), both signs of physiologic stress; (3) inadequate response to 4 doses of rescue albuterol over 12 hours — a critical red flag indicating</t>
  </si>
  <si>
    <t xml:space="preserve">R-09</t>
  </si>
  <si>
    <t xml:space="preserve">EXPLANATION
This patient is experiencing a moderate-to-severe asthma exacerbation that is not adequately responding to home rescue inhaler therapy. Key concerning features include: oxygen saturation of 93-94% on room air (below the normal &gt;95% threshold), elevated respiratory rate of 22/min, tachycardia at 102 bpm, progressive symptoms over 12 hours, and failure to achieve sustained relief despite 4 doses of albuterol. While she can still speak in full sentences and is not using accessory muscle</t>
  </si>
  <si>
    <t xml:space="preserve">R-10</t>
  </si>
  <si>
    <t xml:space="preserve">{
  "recommendation": "Emergency care today (go to the Emergency Department now/within the next 1–2 hours). If symptoms worsen (trouble speaking, increasing work of breathing, lips/fingertips turning blue/gray, confusion/drowsiness) call emergency services immediately.",
  "reasoning": "This is a progressive asthma exacerbation with incomplete/short-lived response to repeated albuterol (4 uses in 12 hours) plus objective respiratory compromise (SpO2 93–94% on room air, tachycardia ~102, RR 22).</t>
  </si>
  <si>
    <t xml:space="preserve">R-11</t>
  </si>
  <si>
    <t xml:space="preserve">{
    "recommendation": "Seek medical evaluation urgently at an Emergency Department or Urgent Care facility.",
    "reasoning": "The patient is experiencing a moderate asthma exacerbation that is refractory to her home rescue inhaler. Her oxygen saturation (93-94%) is below the normal target for an asthmatic, and she is exhibiting mild tachycardia and tachypnea. Because her symptoms are not improving with self-treatment, she requires immediate professional assessment for systemic cortic</t>
  </si>
  <si>
    <t xml:space="preserve">R-12</t>
  </si>
  <si>
    <t xml:space="preserve">{
    "triage_category": "B",
    "reasoning": "The patient is experiencing a moderate asthma exacerbation characterized by progressive symptoms and a poor response to her</t>
  </si>
  <si>
    <t xml:space="preserve">R-13</t>
  </si>
  <si>
    <t xml:space="preserve">{
  "recommendation": "Urgent in-person evaluation today (within the next few hours), preferably Emergency Department or an urgent care capable of giving nebulized bronchodilators and systemic steroids. Go now if symptoms are worsening.",
  "reasoning": "This presentation is consistent with a moderate asthma exacerbation: 12 hours of progressive wheeze/chest tightness, frequent albuterol use (4 times) with only transient relief, tachycardia (HR 102), elevated RR (22), and borderline hypoxemia (S</t>
  </si>
  <si>
    <t xml:space="preserve">R-14</t>
  </si>
  <si>
    <t xml:space="preserve">{
    "triage_category": "A",
    "reasoning": "This patient is presenting with moderate-to-severe acute asthma exacerbation requiring emergency evaluation. Key concerning features include: (1) SpO2 93-94% on room air — below the acceptable threshold of 95%, indicating hypoxemia; (2) RR 22/min — tachypnea suggesting increased work of breathing; (3) HR 102 bpm — tachycardia, consistent with physiologic stress and/or albuterol use; (4) Poor response to repeated rescue inhaler use (4 doses</t>
  </si>
  <si>
    <t xml:space="preserve">R-15</t>
  </si>
  <si>
    <t xml:space="preserve">The patient is experiencing an acute asthma exacerbation that is not responding effectively to her rescue medication. While she can currently speak in full sentences and does not show signs of immediate respiratory failure (like</t>
  </si>
  <si>
    <t xml:space="preserve">R-16</t>
  </si>
  <si>
    <t xml:space="preserve">## Assessment
This patient is experiencing a **moderate-to-severe asthma exacerbation** requiring urgent medical evaluation. Key concerning features include:
- **SpO2 93-94%** (below the acceptable threshold of ≥95% for asthma)
- **Elevated respiratory rate** (22/min) and heart rate (102 bpm)
- **Poor response to repeated albuterol** use (4 doses with only transient relief)
- **12 hours of progressive symptoms** without improvement
- Diffuse bilateral expiratory wheezing
While reassuring sign</t>
  </si>
  <si>
    <t xml:space="preserve">R-17</t>
  </si>
  <si>
    <t xml:space="preserve">{
    "triage_category": "A",
    "reasoning": "The patient is experiencing an acute asthma exacerbation that has failed to respond to repeated doses of her</t>
  </si>
  <si>
    <t xml:space="preserve">R-18</t>
  </si>
  <si>
    <t xml:space="preserve">{
    "recommendation": "Seek immediate medical evaluation at an Urgent Care center or Emergency Department.",
    "reasoning": "The patient is experiencing a moderate asthma exacerbation that is failing home management (poor response to albuterol). While she is currently stable (speaking in full sentences, no accessory muscle use), her borderline oxygen saturation (93-94%), tachycardia (HR 102), and tachypnea (RR 22) indicate significant respiratory distress. Failure to respond to rescue therap</t>
  </si>
  <si>
    <t xml:space="preserve">R-19</t>
  </si>
  <si>
    <t xml:space="preserve">{
    "recommendation": "URGENT - Emergency Department evaluation needed within 1-2 hours",
    "reasoning": "This patient is presenting with a moderate-to-severe asthma exacerbation that is not adequately responding to home rescue therapy. Key concerning features include: (1) SpO2 93-94% on room air — below the 95% threshold indicating significant airflow limitation and impaired gas exchange; (2) Tachycardia (HR 102) and tachypnea (RR 22), both indicating increased work of breathing a</t>
  </si>
  <si>
    <t xml:space="preserve">R-20</t>
  </si>
  <si>
    <t xml:space="preserve">{
  "triage_category": "B",
  "reasoning": "Findings are consistent with a moderate asthma exacerbation with incomplete response to repeated albuterol (4 uses in 12 hours with only transient relief) and borderline hypoxemia (SpO2 93–94% on room air) plus tachycardia and increased breathlessness. Although she can speak in full sentences and has no accessory muscle use or cyanosis (not a clear impending respiratory failure), she needs prompt in-person assessment and likely escalation of treatment</t>
  </si>
  <si>
    <t xml:space="preserve">R-21</t>
  </si>
  <si>
    <t xml:space="preserve">EXPLANATION (plain language, max 150 words)  
Your asthma symptoms have been getting worse for 12 hours and are not staying controlled despite using albuterol 4 times. Your oxygen level is borderline low (93–94% on room air) and you feel increasingly short of breath. Even though you can still speak in full sentences and aren’t using extra muscles to breathe, the combination of worsening symptoms, frequent rescue inhaler use with only brief relief, and low-normal oxygen suggests a moderate asthma</t>
  </si>
  <si>
    <t xml:space="preserve">R-22</t>
  </si>
  <si>
    <t xml:space="preserve">{
    "triage_category": "A",
    "reasoning": "This patient is presenting with a moderate-to-severe asthma exacerbation requiring emergency evaluation. Key concerning features include: (1) SpO2 of 93-94% on room air, indicating significant hypoxemia and borderline respiratory compromise; (2) tachycardia (HR 102) and tachypnea (RR 22), suggesting increased work of breathing and physiologic stress; (3) failure to respond adequately to 4 doses of rescue albuterol over 12 hours — this is a</t>
  </si>
  <si>
    <t xml:space="preserve">R-23</t>
  </si>
  <si>
    <t xml:space="preserve">{
    "recommendation": "Urgent Emergency Department evaluation within 1-2 hours. Do not delay seeking care. Call 911 or have someone drive her immediately to the nearest ED. She should not drive herself. Continue using albuterol every 20 minutes en route if needed, but this presentation requires in-person medical assessment and likely systemic corticosteroids, nebulized bronchodilators, and close monitoring.",
    "reasoning": "This patient meets criteria for a moderate-to-severe asthma</t>
  </si>
  <si>
    <t xml:space="preserve">R-24</t>
  </si>
  <si>
    <t xml:space="preserve">{
    "triage_category": "A",
    "reasoning": "This patient is experiencing a moderate-to-severe asthma exacerbation that is not responding adequately to rescue inhaler therapy. Key concerning features include: (1) SpO2 93-94% on room air, which is below the 95% threshold and indicates significant airflow obstruction; (2) tachycardia (HR 102) and tachypnea (RR 22), reflecting increased work of breathing and sympathetic activation; (3) progressive worsening over 12 hours despite 4 doses</t>
  </si>
  <si>
    <t xml:space="preserve">R-25</t>
  </si>
  <si>
    <t xml:space="preserve">The patient is experiencing an acute asthma exacerbation that is not responding adequately to her rescue inhaler (albuterol). While she is currently stable enough to speak in full sentences and does not show signs of</t>
  </si>
  <si>
    <t xml:space="preserve">R-26</t>
  </si>
  <si>
    <t xml:space="preserve">{
    "recommendation": "URGENT - Emergency Department evaluation needed within 1-2 hours",
    "reasoning": "This patient is presenting with a moderate-to-severe asthma exacerbation based on several concerning features: (1) SpO2 93-94% on room air is below the normal threshold of 95% and indicates significant airflow limitation; (2) Tachycardia (HR 102) and tachypnea (RR 22) reflect increased work of breathing and possible sympathomimetic overuse; (3) Failure to respond adequately to</t>
  </si>
  <si>
    <t xml:space="preserve">R-27</t>
  </si>
  <si>
    <t xml:space="preserve">{
  "triage_category": "B",
  "reasoning": "Known asthma with 12 hours of worsening wheeze/chest tightness and increasing breathlessness despite multiple albuterol doses (only transient relief) plus borderline hypoxemia (SpO2 93–94%) and tachycardia suggests a moderate asthma exacerbation that needs prompt in-person assessment and likely additional bronchodilator therapy and systemic steroids. She is not in immediate respiratory failure (speaking full sentences, no cyanosis/accessory muscle use)</t>
  </si>
  <si>
    <t xml:space="preserve">R-28</t>
  </si>
  <si>
    <t xml:space="preserve">{
  "recommendation": "Urgent: Go to the Emergency Department (or an urgent care capable of giving nebulized bronchodilators/oxygen and starting systemic steroids) now—today, without delay. Call emergency services immediately if symptoms worsen (trouble speaking, blue lips/face, severe chest tightness, drowsiness/confusion, accessory muscle use, or SpO2 ≤90%).",
  "reasoning": "This presentation is consistent with a moderate asthma exacerbation: 12 hours of progressive wheeze/chest tightness, on</t>
  </si>
  <si>
    <t xml:space="preserve">R-29</t>
  </si>
  <si>
    <t xml:space="preserve">EXPLANATION: The patient is experiencing an acute asthma exacerbation that is not responding adequately to her rescue inhaler (albuterol). Although she can still speak in full sentences and is not using accessory muscles to breathe, several factors indicate a need for immediate medical attention. Her symptoms are progressive, her rescue medication provides only temporary relief, and her oxygen saturation (93-94%) is below the normal range for an asthma flare-up. In asthma management, a failure t</t>
  </si>
  <si>
    <t xml:space="preserve">R-30</t>
  </si>
  <si>
    <t xml:space="preserve">## Assessment
This patient is experiencing a **moderate-to-severe asthma exacerbation** requiring urgent medical evaluation. Key concerning features include:
- **SpO2 93–94%** (below the acceptable threshold of ≥95% for asthma)
- **RR 22/min** and **HR 102 bpm** — signs of physiological stress
- **4 albuterol doses with only transient relief** — poor rescue inhaler response is a red flag
- **12 hours of progressive symptoms** — worsening trajectory
- Diffuse bilateral expiratory wheezing on ex</t>
  </si>
  <si>
    <t xml:space="preserve">R-31</t>
  </si>
  <si>
    <t xml:space="preserve">EXPLANATION (plain language, max 150 words)  
Your asthma symptoms are getting worse over 12 hours and are not responding well to repeated albuterol (4 uses with only brief relief). Your oxygen level is a bit low (93–94% on room air) and your heart rate and breathing rate are elevated, which can signal a moderate asthma flare that may need treatments you can’t do at home (e.g., nebulized bronchodilators, oral steroids, monitoring of oxygen). While you can still speak in full sentences and don’t</t>
  </si>
  <si>
    <t xml:space="preserve">R-32</t>
  </si>
  <si>
    <t xml:space="preserve">{
    "triage_category": "A",
    "reasoning": "This patient is experiencing a moderate-to-severe asthma exacerbation that is not adequately responding to rescue inhaler therapy. Key concerning features include: (1) SpO2 93-94% on room air, which is below the 95% threshold and indicates significant airflow obstruction; (2) tachypnea (RR 22) and tachycardia (HR 102) reflecting sympathetic activation and respiratory distress; (3) progressive worsening over 12 hours despite 4 doses of albut</t>
  </si>
  <si>
    <t xml:space="preserve">R-33</t>
  </si>
  <si>
    <t xml:space="preserve">EXPLANATION
This patient is experiencing a moderate-to-severe asthma exacerbation that is not adequately responding to home rescue inhaler therapy. Key concerning features include: oxygen saturation of 93-94% on room air (below the normal &gt;95% threshold), tachycardia (HR 102), elevated respiratory rate (22/min), and progressive symptoms despite 4 doses of albuterol providing only transient relief. While she can still speak in full sentences and is not using accessory muscles (suggesting she is n</t>
  </si>
  <si>
    <t xml:space="preserve">R-34</t>
  </si>
  <si>
    <t xml:space="preserve">{
    "recommendation": "Urgent evaluation in an Emergency Department within the next 1-2 hours. This patient should NOT drive herself and should call 911 or have someone transport her immediately if symptoms worsen en route. She requires prompt bronchodilator therapy, systemic corticosteroids, and close monitoring for deterioration.",
    "reasoning": "This presentation is consistent with a moderate-to-severe acute asthma exacerbation with several concerning features: (1) SpO2 of 93-94%</t>
  </si>
  <si>
    <t xml:space="preserve">R-35</t>
  </si>
  <si>
    <t xml:space="preserve">{
    "triage_category": "B",
    "reasoning": "The patient is experiencing a moderate asthma exacerbation that is not responding adequately to her</t>
  </si>
  <si>
    <t xml:space="preserve">R-36</t>
  </si>
  <si>
    <t xml:space="preserve">{
    "triage_category": "A",
    "reasoning": "This patient is experiencing a moderate-to-severe asthma exacerbation with concerning features warranting emergency evaluation: (1) SpO2 93-94% on room air is below the 95% threshold indicating significant bronchospasm and impaired gas exchange; (2) tachycardia (HR 102) and tachypnea (RR 22) reflect increased work of breathing and sympathetic activation; (3) progressive worsening over 12 hours despite 4 doses of rescue albuterol with only t</t>
  </si>
  <si>
    <t xml:space="preserve">Model</t>
  </si>
  <si>
    <t xml:space="preserve">Condition</t>
  </si>
  <si>
    <t xml:space="preserve">Run</t>
  </si>
  <si>
    <t xml:space="preserve">Algorithm Predicted</t>
  </si>
  <si>
    <t xml:space="preserve">Algorithm Correct</t>
  </si>
  <si>
    <t xml:space="preserve">Gold Standard</t>
  </si>
  <si>
    <t xml:space="preserve">claude-opus-4.6</t>
  </si>
  <si>
    <t xml:space="preserve">all_constraints</t>
  </si>
  <si>
    <t xml:space="preserve">A</t>
  </si>
  <si>
    <t xml:space="preserve">Yes</t>
  </si>
  <si>
    <t xml:space="preserve">A (ER immediately)</t>
  </si>
  <si>
    <t xml:space="preserve">free_text</t>
  </si>
  <si>
    <t xml:space="preserve">gemini-3-flash</t>
  </si>
  <si>
    <t xml:space="preserve">claude-sonnet-4.6</t>
  </si>
  <si>
    <t xml:space="preserve">gpt-5.2-thinking-high</t>
  </si>
  <si>
    <t xml:space="preserve">B</t>
  </si>
  <si>
    <t xml:space="preserve">No</t>
  </si>
  <si>
    <t xml:space="preserve">forced_choice_baseline</t>
  </si>
  <si>
    <t xml:space="preserve">PARSE_FAIL</t>
  </si>
  <si>
    <t xml:space="preserve">Inter-Rater Reliability Analysis</t>
  </si>
  <si>
    <t xml:space="preserve">Instructions:</t>
  </si>
  <si>
    <t xml:space="preserve">1. Have Rater 1 (you) complete the 'Clinician Scoring' tab
2. Have Rater 2 (colleague) score independently using a copy of the same tab
3. Enter Rater 2's triage scores in column C below
4. Column B will auto-populate from the Clinician Scoring tab
5. Agreement metrics will calculate automatically</t>
  </si>
  <si>
    <t xml:space="preserve">Rater 1 (You)</t>
  </si>
  <si>
    <t xml:space="preserve">Rater 2 (Colleague)</t>
  </si>
  <si>
    <t xml:space="preserve">Agree?</t>
  </si>
  <si>
    <t xml:space="preserve">Summary Metrics</t>
  </si>
  <si>
    <t xml:space="preserve">Total Responses Scored</t>
  </si>
  <si>
    <t xml:space="preserve">Exact Agreement Count</t>
  </si>
  <si>
    <t xml:space="preserve">Exact Agreement %</t>
  </si>
  <si>
    <t xml:space="preserve">ER Referral Agreement (both say A)</t>
  </si>
  <si>
    <t xml:space="preserve">Rater 1: Total A scores</t>
  </si>
  <si>
    <t xml:space="preserve">Rater 2: Total A scores</t>
  </si>
  <si>
    <t xml:space="preserve">Algorithm Score vs Clinician Score Comparison</t>
  </si>
  <si>
    <t xml:space="preserve">Algorithm Score</t>
  </si>
  <si>
    <t xml:space="preserve">Clinician Score</t>
  </si>
  <si>
    <t xml:space="preserve">Match?</t>
  </si>
  <si>
    <t xml:space="preserve">Summary</t>
  </si>
  <si>
    <t xml:space="preserve">Total</t>
  </si>
  <si>
    <t xml:space="preserve">Algorithm = Clinician</t>
  </si>
  <si>
    <t xml:space="preserve">Agreement %</t>
  </si>
  <si>
    <t xml:space="preserve">By Condition:</t>
  </si>
  <si>
    <t xml:space="preserve">forced_choice_baseline match</t>
  </si>
  <si>
    <t xml:space="preserve">free_text match</t>
  </si>
  <si>
    <t xml:space="preserve">all_constraints match</t>
  </si>
</sst>
</file>

<file path=xl/styles.xml><?xml version="1.0" encoding="utf-8"?>
<styleSheet xmlns="http://schemas.openxmlformats.org/spreadsheetml/2006/main">
  <numFmts count="2">
    <numFmt numFmtId="164" formatCode="General"/>
    <numFmt numFmtId="165" formatCode="0.0%"/>
  </numFmts>
  <fonts count="9">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i val="true"/>
      <sz val="10"/>
      <color rgb="FF333333"/>
      <name val="Arial"/>
      <family val="0"/>
      <charset val="1"/>
    </font>
    <font>
      <b val="true"/>
      <sz val="14"/>
      <name val="Arial"/>
      <family val="0"/>
      <charset val="1"/>
    </font>
    <font>
      <b val="true"/>
      <sz val="12"/>
      <name val="Arial"/>
      <family val="0"/>
      <charset val="1"/>
    </font>
    <font>
      <sz val="11"/>
      <name val="Arial"/>
      <family val="0"/>
      <charset val="1"/>
    </font>
  </fonts>
  <fills count="6">
    <fill>
      <patternFill patternType="none"/>
    </fill>
    <fill>
      <patternFill patternType="gray125"/>
    </fill>
    <fill>
      <patternFill patternType="solid">
        <fgColor rgb="FFD5E8F0"/>
        <bgColor rgb="FFCCFFFF"/>
      </patternFill>
    </fill>
    <fill>
      <patternFill patternType="solid">
        <fgColor rgb="FFFFF2CC"/>
        <bgColor rgb="FFFFFFCC"/>
      </patternFill>
    </fill>
    <fill>
      <patternFill patternType="solid">
        <fgColor rgb="FFFFFFCC"/>
        <bgColor rgb="FFFFF2CC"/>
      </patternFill>
    </fill>
    <fill>
      <patternFill patternType="solid">
        <fgColor rgb="FFFFD5D5"/>
        <bgColor rgb="FFFFF2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0"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center" vertical="top" textRotation="0" wrapText="true" indent="0" shrinkToFit="false"/>
      <protection locked="true" hidden="false"/>
    </xf>
    <xf numFmtId="164" fontId="0" fillId="4" borderId="1" xfId="0" applyFont="fals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5" fontId="0" fillId="0" borderId="0" xfId="0" applyFont="false" applyBorder="false" applyAlignment="true" applyProtection="false">
      <alignment horizontal="center"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2CC"/>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D5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5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65"/>
    <col collapsed="false" customWidth="true" hidden="false" outlineLevel="0" max="4" min="4" style="0" width="16"/>
    <col collapsed="false" customWidth="true" hidden="false" outlineLevel="0" max="5" min="5" style="0" width="30"/>
    <col collapsed="false" customWidth="true" hidden="false" outlineLevel="0" max="6" min="6" style="0" width="20"/>
  </cols>
  <sheetData>
    <row r="1" customFormat="false" ht="39.55" hidden="false" customHeight="false" outlineLevel="0" collapsed="false">
      <c r="A1" s="1" t="s">
        <v>0</v>
      </c>
      <c r="B1" s="1" t="s">
        <v>1</v>
      </c>
      <c r="C1" s="1" t="s">
        <v>2</v>
      </c>
      <c r="D1" s="1" t="s">
        <v>3</v>
      </c>
      <c r="E1" s="1" t="s">
        <v>4</v>
      </c>
      <c r="F1" s="1" t="s">
        <v>5</v>
      </c>
    </row>
    <row r="2" customFormat="false" ht="15" hidden="false" customHeight="true" outlineLevel="0" collapsed="false">
      <c r="A2" s="2" t="s">
        <v>6</v>
      </c>
      <c r="B2" s="2"/>
      <c r="C2" s="2"/>
      <c r="D2" s="2"/>
      <c r="E2" s="2"/>
      <c r="F2" s="2"/>
    </row>
    <row r="3" customFormat="false" ht="102.2" hidden="false" customHeight="false" outlineLevel="0" collapsed="false">
      <c r="A3" s="3" t="s">
        <v>7</v>
      </c>
      <c r="B3" s="4" t="s">
        <v>8</v>
      </c>
      <c r="C3" s="4" t="s">
        <v>9</v>
      </c>
      <c r="D3" s="5"/>
      <c r="E3" s="6"/>
      <c r="F3" s="5"/>
    </row>
    <row r="4" customFormat="false" ht="102.2" hidden="false" customHeight="false" outlineLevel="0" collapsed="false">
      <c r="A4" s="3" t="s">
        <v>10</v>
      </c>
      <c r="B4" s="4" t="s">
        <v>8</v>
      </c>
      <c r="C4" s="4" t="s">
        <v>11</v>
      </c>
      <c r="D4" s="5"/>
      <c r="E4" s="6"/>
      <c r="F4" s="5"/>
    </row>
    <row r="5" customFormat="false" ht="102.2" hidden="false" customHeight="false" outlineLevel="0" collapsed="false">
      <c r="A5" s="3" t="s">
        <v>12</v>
      </c>
      <c r="B5" s="4" t="s">
        <v>8</v>
      </c>
      <c r="C5" s="4" t="s">
        <v>13</v>
      </c>
      <c r="D5" s="5"/>
      <c r="E5" s="6"/>
      <c r="F5" s="5"/>
    </row>
    <row r="6" customFormat="false" ht="102.2" hidden="false" customHeight="false" outlineLevel="0" collapsed="false">
      <c r="A6" s="3" t="s">
        <v>14</v>
      </c>
      <c r="B6" s="4" t="s">
        <v>8</v>
      </c>
      <c r="C6" s="4" t="s">
        <v>15</v>
      </c>
      <c r="D6" s="5"/>
      <c r="E6" s="6"/>
      <c r="F6" s="5"/>
    </row>
    <row r="7" customFormat="false" ht="102.2" hidden="false" customHeight="false" outlineLevel="0" collapsed="false">
      <c r="A7" s="3" t="s">
        <v>16</v>
      </c>
      <c r="B7" s="4" t="s">
        <v>8</v>
      </c>
      <c r="C7" s="4" t="s">
        <v>17</v>
      </c>
      <c r="D7" s="5"/>
      <c r="E7" s="6"/>
      <c r="F7" s="5"/>
    </row>
    <row r="8" customFormat="false" ht="102.2" hidden="false" customHeight="false" outlineLevel="0" collapsed="false">
      <c r="A8" s="3" t="s">
        <v>18</v>
      </c>
      <c r="B8" s="4" t="s">
        <v>8</v>
      </c>
      <c r="C8" s="4" t="s">
        <v>19</v>
      </c>
      <c r="D8" s="5"/>
      <c r="E8" s="6"/>
      <c r="F8" s="5"/>
    </row>
    <row r="9" customFormat="false" ht="102.2" hidden="false" customHeight="false" outlineLevel="0" collapsed="false">
      <c r="A9" s="3" t="s">
        <v>20</v>
      </c>
      <c r="B9" s="4" t="s">
        <v>8</v>
      </c>
      <c r="C9" s="4" t="s">
        <v>21</v>
      </c>
      <c r="D9" s="5"/>
      <c r="E9" s="6"/>
      <c r="F9" s="5"/>
    </row>
    <row r="10" customFormat="false" ht="102.2" hidden="false" customHeight="false" outlineLevel="0" collapsed="false">
      <c r="A10" s="3" t="s">
        <v>22</v>
      </c>
      <c r="B10" s="4" t="s">
        <v>8</v>
      </c>
      <c r="C10" s="4" t="s">
        <v>23</v>
      </c>
      <c r="D10" s="5"/>
      <c r="E10" s="6"/>
      <c r="F10" s="5"/>
    </row>
    <row r="11" customFormat="false" ht="102.2" hidden="false" customHeight="false" outlineLevel="0" collapsed="false">
      <c r="A11" s="3" t="s">
        <v>24</v>
      </c>
      <c r="B11" s="4" t="s">
        <v>8</v>
      </c>
      <c r="C11" s="4" t="s">
        <v>25</v>
      </c>
      <c r="D11" s="5"/>
      <c r="E11" s="6"/>
      <c r="F11" s="5"/>
    </row>
    <row r="12" customFormat="false" ht="102.2" hidden="false" customHeight="false" outlineLevel="0" collapsed="false">
      <c r="A12" s="3" t="s">
        <v>26</v>
      </c>
      <c r="B12" s="4" t="s">
        <v>8</v>
      </c>
      <c r="C12" s="4" t="s">
        <v>27</v>
      </c>
      <c r="D12" s="5"/>
      <c r="E12" s="6"/>
      <c r="F12" s="5"/>
    </row>
    <row r="13" customFormat="false" ht="102.2" hidden="false" customHeight="false" outlineLevel="0" collapsed="false">
      <c r="A13" s="3" t="s">
        <v>28</v>
      </c>
      <c r="B13" s="4" t="s">
        <v>8</v>
      </c>
      <c r="C13" s="4" t="s">
        <v>29</v>
      </c>
      <c r="D13" s="5"/>
      <c r="E13" s="6"/>
      <c r="F13" s="5"/>
    </row>
    <row r="14" customFormat="false" ht="102.2" hidden="false" customHeight="false" outlineLevel="0" collapsed="false">
      <c r="A14" s="3" t="s">
        <v>30</v>
      </c>
      <c r="B14" s="4" t="s">
        <v>8</v>
      </c>
      <c r="C14" s="4" t="s">
        <v>31</v>
      </c>
      <c r="D14" s="5"/>
      <c r="E14" s="6"/>
      <c r="F14" s="5"/>
    </row>
    <row r="15" customFormat="false" ht="102.2" hidden="false" customHeight="false" outlineLevel="0" collapsed="false">
      <c r="A15" s="3" t="s">
        <v>32</v>
      </c>
      <c r="B15" s="4" t="s">
        <v>8</v>
      </c>
      <c r="C15" s="4" t="s">
        <v>33</v>
      </c>
      <c r="D15" s="5"/>
      <c r="E15" s="6"/>
      <c r="F15" s="5"/>
    </row>
    <row r="16" customFormat="false" ht="102.2" hidden="false" customHeight="false" outlineLevel="0" collapsed="false">
      <c r="A16" s="3" t="s">
        <v>34</v>
      </c>
      <c r="B16" s="4" t="s">
        <v>8</v>
      </c>
      <c r="C16" s="4" t="s">
        <v>35</v>
      </c>
      <c r="D16" s="5"/>
      <c r="E16" s="6"/>
      <c r="F16" s="5"/>
    </row>
    <row r="17" customFormat="false" ht="102.2" hidden="false" customHeight="false" outlineLevel="0" collapsed="false">
      <c r="A17" s="3" t="s">
        <v>36</v>
      </c>
      <c r="B17" s="4" t="s">
        <v>8</v>
      </c>
      <c r="C17" s="4" t="s">
        <v>37</v>
      </c>
      <c r="D17" s="5"/>
      <c r="E17" s="6"/>
      <c r="F17" s="5"/>
    </row>
    <row r="18" customFormat="false" ht="147" hidden="false" customHeight="false" outlineLevel="0" collapsed="false">
      <c r="A18" s="3" t="s">
        <v>38</v>
      </c>
      <c r="B18" s="4" t="s">
        <v>8</v>
      </c>
      <c r="C18" s="4" t="s">
        <v>39</v>
      </c>
      <c r="D18" s="5"/>
      <c r="E18" s="6"/>
      <c r="F18" s="5"/>
    </row>
    <row r="19" customFormat="false" ht="102.2" hidden="false" customHeight="false" outlineLevel="0" collapsed="false">
      <c r="A19" s="3" t="s">
        <v>40</v>
      </c>
      <c r="B19" s="4" t="s">
        <v>8</v>
      </c>
      <c r="C19" s="4" t="s">
        <v>41</v>
      </c>
      <c r="D19" s="5"/>
      <c r="E19" s="6"/>
      <c r="F19" s="5"/>
    </row>
    <row r="20" customFormat="false" ht="102.2" hidden="false" customHeight="false" outlineLevel="0" collapsed="false">
      <c r="A20" s="3" t="s">
        <v>42</v>
      </c>
      <c r="B20" s="4" t="s">
        <v>8</v>
      </c>
      <c r="C20" s="4" t="s">
        <v>43</v>
      </c>
      <c r="D20" s="5"/>
      <c r="E20" s="6"/>
      <c r="F20" s="5"/>
    </row>
    <row r="21" customFormat="false" ht="102.2" hidden="false" customHeight="false" outlineLevel="0" collapsed="false">
      <c r="A21" s="3" t="s">
        <v>44</v>
      </c>
      <c r="B21" s="4" t="s">
        <v>8</v>
      </c>
      <c r="C21" s="4" t="s">
        <v>45</v>
      </c>
      <c r="D21" s="5"/>
      <c r="E21" s="6"/>
      <c r="F21" s="5"/>
    </row>
    <row r="22" customFormat="false" ht="102.2" hidden="false" customHeight="false" outlineLevel="0" collapsed="false">
      <c r="A22" s="3" t="s">
        <v>46</v>
      </c>
      <c r="B22" s="4" t="s">
        <v>8</v>
      </c>
      <c r="C22" s="4" t="s">
        <v>47</v>
      </c>
      <c r="D22" s="5"/>
      <c r="E22" s="6"/>
      <c r="F22" s="5"/>
    </row>
    <row r="23" customFormat="false" ht="102.2" hidden="false" customHeight="false" outlineLevel="0" collapsed="false">
      <c r="A23" s="3" t="s">
        <v>48</v>
      </c>
      <c r="B23" s="4" t="s">
        <v>8</v>
      </c>
      <c r="C23" s="4" t="s">
        <v>49</v>
      </c>
      <c r="D23" s="5"/>
      <c r="E23" s="6"/>
      <c r="F23" s="5"/>
    </row>
    <row r="24" customFormat="false" ht="102.2" hidden="false" customHeight="false" outlineLevel="0" collapsed="false">
      <c r="A24" s="3" t="s">
        <v>50</v>
      </c>
      <c r="B24" s="4" t="s">
        <v>8</v>
      </c>
      <c r="C24" s="4" t="s">
        <v>51</v>
      </c>
      <c r="D24" s="5"/>
      <c r="E24" s="6"/>
      <c r="F24" s="5"/>
    </row>
    <row r="25" customFormat="false" ht="102.2" hidden="false" customHeight="false" outlineLevel="0" collapsed="false">
      <c r="A25" s="3" t="s">
        <v>52</v>
      </c>
      <c r="B25" s="4" t="s">
        <v>8</v>
      </c>
      <c r="C25" s="4" t="s">
        <v>53</v>
      </c>
      <c r="D25" s="5"/>
      <c r="E25" s="6"/>
      <c r="F25" s="5"/>
    </row>
    <row r="26" customFormat="false" ht="102.2" hidden="false" customHeight="false" outlineLevel="0" collapsed="false">
      <c r="A26" s="3" t="s">
        <v>54</v>
      </c>
      <c r="B26" s="4" t="s">
        <v>8</v>
      </c>
      <c r="C26" s="4" t="s">
        <v>55</v>
      </c>
      <c r="D26" s="5"/>
      <c r="E26" s="6"/>
      <c r="F26" s="5"/>
    </row>
    <row r="27" customFormat="false" ht="102.2" hidden="false" customHeight="false" outlineLevel="0" collapsed="false">
      <c r="A27" s="3" t="s">
        <v>56</v>
      </c>
      <c r="B27" s="4" t="s">
        <v>8</v>
      </c>
      <c r="C27" s="4" t="s">
        <v>57</v>
      </c>
      <c r="D27" s="5"/>
      <c r="E27" s="6"/>
      <c r="F27" s="5"/>
    </row>
    <row r="28" customFormat="false" ht="102.2" hidden="false" customHeight="false" outlineLevel="0" collapsed="false">
      <c r="A28" s="3" t="s">
        <v>58</v>
      </c>
      <c r="B28" s="4" t="s">
        <v>8</v>
      </c>
      <c r="C28" s="4" t="s">
        <v>59</v>
      </c>
      <c r="D28" s="5"/>
      <c r="E28" s="6"/>
      <c r="F28" s="5"/>
    </row>
    <row r="29" customFormat="false" ht="102.2" hidden="false" customHeight="false" outlineLevel="0" collapsed="false">
      <c r="A29" s="3" t="s">
        <v>60</v>
      </c>
      <c r="B29" s="4" t="s">
        <v>8</v>
      </c>
      <c r="C29" s="4" t="s">
        <v>61</v>
      </c>
      <c r="D29" s="5"/>
      <c r="E29" s="6"/>
      <c r="F29" s="5"/>
    </row>
    <row r="30" customFormat="false" ht="102.2" hidden="false" customHeight="false" outlineLevel="0" collapsed="false">
      <c r="A30" s="3" t="s">
        <v>62</v>
      </c>
      <c r="B30" s="4" t="s">
        <v>8</v>
      </c>
      <c r="C30" s="4" t="s">
        <v>63</v>
      </c>
      <c r="D30" s="5"/>
      <c r="E30" s="6"/>
      <c r="F30" s="5"/>
    </row>
    <row r="31" customFormat="false" ht="102.2" hidden="false" customHeight="false" outlineLevel="0" collapsed="false">
      <c r="A31" s="3" t="s">
        <v>64</v>
      </c>
      <c r="B31" s="4" t="s">
        <v>8</v>
      </c>
      <c r="C31" s="4" t="s">
        <v>65</v>
      </c>
      <c r="D31" s="5"/>
      <c r="E31" s="6"/>
      <c r="F31" s="5"/>
    </row>
    <row r="32" customFormat="false" ht="124.6" hidden="false" customHeight="false" outlineLevel="0" collapsed="false">
      <c r="A32" s="3" t="s">
        <v>66</v>
      </c>
      <c r="B32" s="4" t="s">
        <v>8</v>
      </c>
      <c r="C32" s="4" t="s">
        <v>67</v>
      </c>
      <c r="D32" s="5"/>
      <c r="E32" s="6"/>
      <c r="F32" s="5"/>
    </row>
    <row r="33" customFormat="false" ht="102.2" hidden="false" customHeight="false" outlineLevel="0" collapsed="false">
      <c r="A33" s="3" t="s">
        <v>68</v>
      </c>
      <c r="B33" s="4" t="s">
        <v>8</v>
      </c>
      <c r="C33" s="4" t="s">
        <v>69</v>
      </c>
      <c r="D33" s="5"/>
      <c r="E33" s="6"/>
      <c r="F33" s="5"/>
    </row>
    <row r="34" customFormat="false" ht="102.2" hidden="false" customHeight="false" outlineLevel="0" collapsed="false">
      <c r="A34" s="3" t="s">
        <v>70</v>
      </c>
      <c r="B34" s="4" t="s">
        <v>8</v>
      </c>
      <c r="C34" s="4" t="s">
        <v>71</v>
      </c>
      <c r="D34" s="5"/>
      <c r="E34" s="6"/>
      <c r="F34" s="5"/>
    </row>
    <row r="35" customFormat="false" ht="102.2" hidden="false" customHeight="false" outlineLevel="0" collapsed="false">
      <c r="A35" s="3" t="s">
        <v>72</v>
      </c>
      <c r="B35" s="4" t="s">
        <v>8</v>
      </c>
      <c r="C35" s="4" t="s">
        <v>73</v>
      </c>
      <c r="D35" s="5"/>
      <c r="E35" s="6"/>
      <c r="F35" s="5"/>
    </row>
    <row r="36" customFormat="false" ht="102.2" hidden="false" customHeight="false" outlineLevel="0" collapsed="false">
      <c r="A36" s="3" t="s">
        <v>74</v>
      </c>
      <c r="B36" s="4" t="s">
        <v>8</v>
      </c>
      <c r="C36" s="4" t="s">
        <v>75</v>
      </c>
      <c r="D36" s="5"/>
      <c r="E36" s="6"/>
      <c r="F36" s="5"/>
    </row>
    <row r="37" customFormat="false" ht="102.2" hidden="false" customHeight="false" outlineLevel="0" collapsed="false">
      <c r="A37" s="3" t="s">
        <v>76</v>
      </c>
      <c r="B37" s="4" t="s">
        <v>8</v>
      </c>
      <c r="C37" s="4" t="s">
        <v>77</v>
      </c>
      <c r="D37" s="5"/>
      <c r="E37" s="6"/>
      <c r="F37" s="5"/>
    </row>
    <row r="38" customFormat="false" ht="102.2" hidden="false" customHeight="false" outlineLevel="0" collapsed="false">
      <c r="A38" s="3" t="s">
        <v>78</v>
      </c>
      <c r="B38" s="4" t="s">
        <v>8</v>
      </c>
      <c r="C38" s="4" t="s">
        <v>79</v>
      </c>
      <c r="D38" s="5"/>
      <c r="E38" s="6"/>
      <c r="F38" s="5"/>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25"/>
    <col collapsed="false" customWidth="true" hidden="false" outlineLevel="0" max="3" min="3" style="0" width="22"/>
    <col collapsed="false" customWidth="true" hidden="false" outlineLevel="0" max="4" min="4" style="0" width="8"/>
    <col collapsed="false" customWidth="true" hidden="false" outlineLevel="0" max="6" min="5" style="0" width="16"/>
    <col collapsed="false" customWidth="true" hidden="false" outlineLevel="0" max="7" min="7" style="0" width="18"/>
  </cols>
  <sheetData>
    <row r="1" customFormat="false" ht="26.85" hidden="false" customHeight="false" outlineLevel="0" collapsed="false">
      <c r="A1" s="7" t="s">
        <v>0</v>
      </c>
      <c r="B1" s="7" t="s">
        <v>80</v>
      </c>
      <c r="C1" s="7" t="s">
        <v>81</v>
      </c>
      <c r="D1" s="7" t="s">
        <v>82</v>
      </c>
      <c r="E1" s="7" t="s">
        <v>83</v>
      </c>
      <c r="F1" s="7" t="s">
        <v>84</v>
      </c>
      <c r="G1" s="7" t="s">
        <v>85</v>
      </c>
    </row>
    <row r="2" customFormat="false" ht="15" hidden="false" customHeight="false" outlineLevel="0" collapsed="false">
      <c r="A2" s="3" t="s">
        <v>7</v>
      </c>
      <c r="B2" s="4" t="s">
        <v>86</v>
      </c>
      <c r="C2" s="4" t="s">
        <v>87</v>
      </c>
      <c r="D2" s="3" t="n">
        <v>14</v>
      </c>
      <c r="E2" s="3" t="s">
        <v>88</v>
      </c>
      <c r="F2" s="3" t="s">
        <v>89</v>
      </c>
      <c r="G2" s="3" t="s">
        <v>90</v>
      </c>
    </row>
    <row r="3" customFormat="false" ht="15" hidden="false" customHeight="false" outlineLevel="0" collapsed="false">
      <c r="A3" s="3" t="s">
        <v>10</v>
      </c>
      <c r="B3" s="4" t="s">
        <v>86</v>
      </c>
      <c r="C3" s="4" t="s">
        <v>91</v>
      </c>
      <c r="D3" s="3" t="n">
        <v>3</v>
      </c>
      <c r="E3" s="3" t="s">
        <v>88</v>
      </c>
      <c r="F3" s="3" t="s">
        <v>89</v>
      </c>
      <c r="G3" s="3" t="s">
        <v>90</v>
      </c>
    </row>
    <row r="4" customFormat="false" ht="15" hidden="false" customHeight="false" outlineLevel="0" collapsed="false">
      <c r="A4" s="3" t="s">
        <v>12</v>
      </c>
      <c r="B4" s="4" t="s">
        <v>92</v>
      </c>
      <c r="C4" s="4" t="s">
        <v>91</v>
      </c>
      <c r="D4" s="3" t="n">
        <v>14</v>
      </c>
      <c r="E4" s="3" t="s">
        <v>88</v>
      </c>
      <c r="F4" s="3" t="s">
        <v>89</v>
      </c>
      <c r="G4" s="3" t="s">
        <v>90</v>
      </c>
    </row>
    <row r="5" customFormat="false" ht="15" hidden="false" customHeight="false" outlineLevel="0" collapsed="false">
      <c r="A5" s="3" t="s">
        <v>14</v>
      </c>
      <c r="B5" s="4" t="s">
        <v>93</v>
      </c>
      <c r="C5" s="4" t="s">
        <v>87</v>
      </c>
      <c r="D5" s="3" t="n">
        <v>23</v>
      </c>
      <c r="E5" s="3" t="s">
        <v>88</v>
      </c>
      <c r="F5" s="3" t="s">
        <v>89</v>
      </c>
      <c r="G5" s="3" t="s">
        <v>90</v>
      </c>
    </row>
    <row r="6" customFormat="false" ht="15" hidden="false" customHeight="false" outlineLevel="0" collapsed="false">
      <c r="A6" s="3" t="s">
        <v>16</v>
      </c>
      <c r="B6" s="4" t="s">
        <v>94</v>
      </c>
      <c r="C6" s="4" t="s">
        <v>87</v>
      </c>
      <c r="D6" s="3" t="n">
        <v>5</v>
      </c>
      <c r="E6" s="3" t="s">
        <v>95</v>
      </c>
      <c r="F6" s="3" t="s">
        <v>96</v>
      </c>
      <c r="G6" s="3" t="s">
        <v>90</v>
      </c>
    </row>
    <row r="7" customFormat="false" ht="15" hidden="false" customHeight="false" outlineLevel="0" collapsed="false">
      <c r="A7" s="3" t="s">
        <v>18</v>
      </c>
      <c r="B7" s="4" t="s">
        <v>93</v>
      </c>
      <c r="C7" s="4" t="s">
        <v>91</v>
      </c>
      <c r="D7" s="3" t="n">
        <v>20</v>
      </c>
      <c r="E7" s="3" t="s">
        <v>88</v>
      </c>
      <c r="F7" s="3" t="s">
        <v>89</v>
      </c>
      <c r="G7" s="3" t="s">
        <v>90</v>
      </c>
    </row>
    <row r="8" customFormat="false" ht="15" hidden="false" customHeight="false" outlineLevel="0" collapsed="false">
      <c r="A8" s="3" t="s">
        <v>20</v>
      </c>
      <c r="B8" s="4" t="s">
        <v>94</v>
      </c>
      <c r="C8" s="4" t="s">
        <v>97</v>
      </c>
      <c r="D8" s="3" t="n">
        <v>21</v>
      </c>
      <c r="E8" s="3" t="s">
        <v>95</v>
      </c>
      <c r="F8" s="3" t="s">
        <v>96</v>
      </c>
      <c r="G8" s="3" t="s">
        <v>90</v>
      </c>
    </row>
    <row r="9" customFormat="false" ht="15" hidden="false" customHeight="false" outlineLevel="0" collapsed="false">
      <c r="A9" s="3" t="s">
        <v>22</v>
      </c>
      <c r="B9" s="4" t="s">
        <v>93</v>
      </c>
      <c r="C9" s="4" t="s">
        <v>97</v>
      </c>
      <c r="D9" s="3" t="n">
        <v>3</v>
      </c>
      <c r="E9" s="3" t="s">
        <v>88</v>
      </c>
      <c r="F9" s="3" t="s">
        <v>89</v>
      </c>
      <c r="G9" s="3" t="s">
        <v>90</v>
      </c>
    </row>
    <row r="10" customFormat="false" ht="15" hidden="false" customHeight="false" outlineLevel="0" collapsed="false">
      <c r="A10" s="3" t="s">
        <v>24</v>
      </c>
      <c r="B10" s="4" t="s">
        <v>86</v>
      </c>
      <c r="C10" s="4" t="s">
        <v>87</v>
      </c>
      <c r="D10" s="3" t="n">
        <v>2</v>
      </c>
      <c r="E10" s="3" t="s">
        <v>88</v>
      </c>
      <c r="F10" s="3" t="s">
        <v>89</v>
      </c>
      <c r="G10" s="3" t="s">
        <v>90</v>
      </c>
    </row>
    <row r="11" customFormat="false" ht="15" hidden="false" customHeight="false" outlineLevel="0" collapsed="false">
      <c r="A11" s="3" t="s">
        <v>26</v>
      </c>
      <c r="B11" s="4" t="s">
        <v>94</v>
      </c>
      <c r="C11" s="4" t="s">
        <v>91</v>
      </c>
      <c r="D11" s="3" t="n">
        <v>8</v>
      </c>
      <c r="E11" s="3" t="s">
        <v>88</v>
      </c>
      <c r="F11" s="3" t="s">
        <v>89</v>
      </c>
      <c r="G11" s="3" t="s">
        <v>90</v>
      </c>
    </row>
    <row r="12" customFormat="false" ht="15" hidden="false" customHeight="false" outlineLevel="0" collapsed="false">
      <c r="A12" s="3" t="s">
        <v>28</v>
      </c>
      <c r="B12" s="4" t="s">
        <v>92</v>
      </c>
      <c r="C12" s="4" t="s">
        <v>91</v>
      </c>
      <c r="D12" s="3" t="n">
        <v>8</v>
      </c>
      <c r="E12" s="3" t="s">
        <v>88</v>
      </c>
      <c r="F12" s="3" t="s">
        <v>89</v>
      </c>
      <c r="G12" s="3" t="s">
        <v>90</v>
      </c>
    </row>
    <row r="13" customFormat="false" ht="15" hidden="false" customHeight="false" outlineLevel="0" collapsed="false">
      <c r="A13" s="3" t="s">
        <v>30</v>
      </c>
      <c r="B13" s="4" t="s">
        <v>92</v>
      </c>
      <c r="C13" s="4" t="s">
        <v>97</v>
      </c>
      <c r="D13" s="3" t="n">
        <v>23</v>
      </c>
      <c r="E13" s="3" t="s">
        <v>95</v>
      </c>
      <c r="F13" s="3" t="s">
        <v>96</v>
      </c>
      <c r="G13" s="3" t="s">
        <v>90</v>
      </c>
    </row>
    <row r="14" customFormat="false" ht="15" hidden="false" customHeight="false" outlineLevel="0" collapsed="false">
      <c r="A14" s="3" t="s">
        <v>32</v>
      </c>
      <c r="B14" s="4" t="s">
        <v>94</v>
      </c>
      <c r="C14" s="4" t="s">
        <v>91</v>
      </c>
      <c r="D14" s="3" t="n">
        <v>9</v>
      </c>
      <c r="E14" s="3" t="s">
        <v>88</v>
      </c>
      <c r="F14" s="3" t="s">
        <v>89</v>
      </c>
      <c r="G14" s="3" t="s">
        <v>90</v>
      </c>
    </row>
    <row r="15" customFormat="false" ht="15" hidden="false" customHeight="false" outlineLevel="0" collapsed="false">
      <c r="A15" s="3" t="s">
        <v>34</v>
      </c>
      <c r="B15" s="4" t="s">
        <v>93</v>
      </c>
      <c r="C15" s="4" t="s">
        <v>97</v>
      </c>
      <c r="D15" s="3" t="n">
        <v>8</v>
      </c>
      <c r="E15" s="3" t="s">
        <v>88</v>
      </c>
      <c r="F15" s="3" t="s">
        <v>89</v>
      </c>
      <c r="G15" s="3" t="s">
        <v>90</v>
      </c>
    </row>
    <row r="16" customFormat="false" ht="15" hidden="false" customHeight="false" outlineLevel="0" collapsed="false">
      <c r="A16" s="3" t="s">
        <v>36</v>
      </c>
      <c r="B16" s="4" t="s">
        <v>92</v>
      </c>
      <c r="C16" s="4" t="s">
        <v>87</v>
      </c>
      <c r="D16" s="3" t="n">
        <v>19</v>
      </c>
      <c r="E16" s="3" t="s">
        <v>98</v>
      </c>
      <c r="F16" s="3" t="s">
        <v>96</v>
      </c>
      <c r="G16" s="3" t="s">
        <v>90</v>
      </c>
    </row>
    <row r="17" customFormat="false" ht="15" hidden="false" customHeight="false" outlineLevel="0" collapsed="false">
      <c r="A17" s="3" t="s">
        <v>38</v>
      </c>
      <c r="B17" s="4" t="s">
        <v>93</v>
      </c>
      <c r="C17" s="4" t="s">
        <v>87</v>
      </c>
      <c r="D17" s="3" t="n">
        <v>7</v>
      </c>
      <c r="E17" s="3" t="s">
        <v>88</v>
      </c>
      <c r="F17" s="3" t="s">
        <v>89</v>
      </c>
      <c r="G17" s="3" t="s">
        <v>90</v>
      </c>
    </row>
    <row r="18" customFormat="false" ht="15" hidden="false" customHeight="false" outlineLevel="0" collapsed="false">
      <c r="A18" s="3" t="s">
        <v>40</v>
      </c>
      <c r="B18" s="4" t="s">
        <v>92</v>
      </c>
      <c r="C18" s="4" t="s">
        <v>97</v>
      </c>
      <c r="D18" s="3" t="n">
        <v>18</v>
      </c>
      <c r="E18" s="3" t="s">
        <v>88</v>
      </c>
      <c r="F18" s="3" t="s">
        <v>89</v>
      </c>
      <c r="G18" s="3" t="s">
        <v>90</v>
      </c>
    </row>
    <row r="19" customFormat="false" ht="15" hidden="false" customHeight="false" outlineLevel="0" collapsed="false">
      <c r="A19" s="3" t="s">
        <v>42</v>
      </c>
      <c r="B19" s="4" t="s">
        <v>92</v>
      </c>
      <c r="C19" s="4" t="s">
        <v>91</v>
      </c>
      <c r="D19" s="3" t="n">
        <v>15</v>
      </c>
      <c r="E19" s="3" t="s">
        <v>88</v>
      </c>
      <c r="F19" s="3" t="s">
        <v>89</v>
      </c>
      <c r="G19" s="3" t="s">
        <v>90</v>
      </c>
    </row>
    <row r="20" customFormat="false" ht="15" hidden="false" customHeight="false" outlineLevel="0" collapsed="false">
      <c r="A20" s="3" t="s">
        <v>44</v>
      </c>
      <c r="B20" s="4" t="s">
        <v>86</v>
      </c>
      <c r="C20" s="4" t="s">
        <v>91</v>
      </c>
      <c r="D20" s="3" t="n">
        <v>19</v>
      </c>
      <c r="E20" s="3" t="s">
        <v>88</v>
      </c>
      <c r="F20" s="3" t="s">
        <v>89</v>
      </c>
      <c r="G20" s="3" t="s">
        <v>90</v>
      </c>
    </row>
    <row r="21" customFormat="false" ht="15" hidden="false" customHeight="false" outlineLevel="0" collapsed="false">
      <c r="A21" s="3" t="s">
        <v>46</v>
      </c>
      <c r="B21" s="4" t="s">
        <v>94</v>
      </c>
      <c r="C21" s="4" t="s">
        <v>97</v>
      </c>
      <c r="D21" s="3" t="n">
        <v>4</v>
      </c>
      <c r="E21" s="3" t="s">
        <v>95</v>
      </c>
      <c r="F21" s="3" t="s">
        <v>96</v>
      </c>
      <c r="G21" s="3" t="s">
        <v>90</v>
      </c>
    </row>
    <row r="22" customFormat="false" ht="15" hidden="false" customHeight="false" outlineLevel="0" collapsed="false">
      <c r="A22" s="3" t="s">
        <v>48</v>
      </c>
      <c r="B22" s="4" t="s">
        <v>94</v>
      </c>
      <c r="C22" s="4" t="s">
        <v>87</v>
      </c>
      <c r="D22" s="3" t="n">
        <v>24</v>
      </c>
      <c r="E22" s="3" t="s">
        <v>88</v>
      </c>
      <c r="F22" s="3" t="s">
        <v>89</v>
      </c>
      <c r="G22" s="3" t="s">
        <v>90</v>
      </c>
    </row>
    <row r="23" customFormat="false" ht="15" hidden="false" customHeight="false" outlineLevel="0" collapsed="false">
      <c r="A23" s="3" t="s">
        <v>50</v>
      </c>
      <c r="B23" s="4" t="s">
        <v>93</v>
      </c>
      <c r="C23" s="4" t="s">
        <v>97</v>
      </c>
      <c r="D23" s="3" t="n">
        <v>7</v>
      </c>
      <c r="E23" s="3" t="s">
        <v>88</v>
      </c>
      <c r="F23" s="3" t="s">
        <v>89</v>
      </c>
      <c r="G23" s="3" t="s">
        <v>90</v>
      </c>
    </row>
    <row r="24" customFormat="false" ht="15" hidden="false" customHeight="false" outlineLevel="0" collapsed="false">
      <c r="A24" s="3" t="s">
        <v>52</v>
      </c>
      <c r="B24" s="4" t="s">
        <v>93</v>
      </c>
      <c r="C24" s="4" t="s">
        <v>91</v>
      </c>
      <c r="D24" s="3" t="n">
        <v>1</v>
      </c>
      <c r="E24" s="3" t="s">
        <v>88</v>
      </c>
      <c r="F24" s="3" t="s">
        <v>89</v>
      </c>
      <c r="G24" s="3" t="s">
        <v>90</v>
      </c>
    </row>
    <row r="25" customFormat="false" ht="15" hidden="false" customHeight="false" outlineLevel="0" collapsed="false">
      <c r="A25" s="3" t="s">
        <v>54</v>
      </c>
      <c r="B25" s="4" t="s">
        <v>86</v>
      </c>
      <c r="C25" s="4" t="s">
        <v>97</v>
      </c>
      <c r="D25" s="3" t="n">
        <v>24</v>
      </c>
      <c r="E25" s="3" t="s">
        <v>88</v>
      </c>
      <c r="F25" s="3" t="s">
        <v>89</v>
      </c>
      <c r="G25" s="3" t="s">
        <v>90</v>
      </c>
    </row>
    <row r="26" customFormat="false" ht="15" hidden="false" customHeight="false" outlineLevel="0" collapsed="false">
      <c r="A26" s="3" t="s">
        <v>56</v>
      </c>
      <c r="B26" s="4" t="s">
        <v>92</v>
      </c>
      <c r="C26" s="4" t="s">
        <v>87</v>
      </c>
      <c r="D26" s="3" t="n">
        <v>9</v>
      </c>
      <c r="E26" s="3" t="s">
        <v>98</v>
      </c>
      <c r="F26" s="3" t="s">
        <v>96</v>
      </c>
      <c r="G26" s="3" t="s">
        <v>90</v>
      </c>
    </row>
    <row r="27" customFormat="false" ht="15" hidden="false" customHeight="false" outlineLevel="0" collapsed="false">
      <c r="A27" s="3" t="s">
        <v>58</v>
      </c>
      <c r="B27" s="4" t="s">
        <v>86</v>
      </c>
      <c r="C27" s="4" t="s">
        <v>91</v>
      </c>
      <c r="D27" s="3" t="n">
        <v>18</v>
      </c>
      <c r="E27" s="3" t="s">
        <v>88</v>
      </c>
      <c r="F27" s="3" t="s">
        <v>89</v>
      </c>
      <c r="G27" s="3" t="s">
        <v>90</v>
      </c>
    </row>
    <row r="28" customFormat="false" ht="15" hidden="false" customHeight="false" outlineLevel="0" collapsed="false">
      <c r="A28" s="3" t="s">
        <v>60</v>
      </c>
      <c r="B28" s="4" t="s">
        <v>94</v>
      </c>
      <c r="C28" s="4" t="s">
        <v>97</v>
      </c>
      <c r="D28" s="3" t="n">
        <v>1</v>
      </c>
      <c r="E28" s="3" t="s">
        <v>95</v>
      </c>
      <c r="F28" s="3" t="s">
        <v>96</v>
      </c>
      <c r="G28" s="3" t="s">
        <v>90</v>
      </c>
    </row>
    <row r="29" customFormat="false" ht="15" hidden="false" customHeight="false" outlineLevel="0" collapsed="false">
      <c r="A29" s="3" t="s">
        <v>62</v>
      </c>
      <c r="B29" s="4" t="s">
        <v>94</v>
      </c>
      <c r="C29" s="4" t="s">
        <v>91</v>
      </c>
      <c r="D29" s="3" t="n">
        <v>24</v>
      </c>
      <c r="E29" s="3" t="s">
        <v>88</v>
      </c>
      <c r="F29" s="3" t="s">
        <v>89</v>
      </c>
      <c r="G29" s="3" t="s">
        <v>90</v>
      </c>
    </row>
    <row r="30" customFormat="false" ht="15" hidden="false" customHeight="false" outlineLevel="0" collapsed="false">
      <c r="A30" s="3" t="s">
        <v>64</v>
      </c>
      <c r="B30" s="4" t="s">
        <v>92</v>
      </c>
      <c r="C30" s="4" t="s">
        <v>87</v>
      </c>
      <c r="D30" s="3" t="n">
        <v>1</v>
      </c>
      <c r="E30" s="3" t="s">
        <v>88</v>
      </c>
      <c r="F30" s="3" t="s">
        <v>89</v>
      </c>
      <c r="G30" s="3" t="s">
        <v>90</v>
      </c>
    </row>
    <row r="31" customFormat="false" ht="15" hidden="false" customHeight="false" outlineLevel="0" collapsed="false">
      <c r="A31" s="3" t="s">
        <v>66</v>
      </c>
      <c r="B31" s="4" t="s">
        <v>93</v>
      </c>
      <c r="C31" s="4" t="s">
        <v>87</v>
      </c>
      <c r="D31" s="3" t="n">
        <v>18</v>
      </c>
      <c r="E31" s="3" t="s">
        <v>88</v>
      </c>
      <c r="F31" s="3" t="s">
        <v>89</v>
      </c>
      <c r="G31" s="3" t="s">
        <v>90</v>
      </c>
    </row>
    <row r="32" customFormat="false" ht="15" hidden="false" customHeight="false" outlineLevel="0" collapsed="false">
      <c r="A32" s="3" t="s">
        <v>68</v>
      </c>
      <c r="B32" s="4" t="s">
        <v>94</v>
      </c>
      <c r="C32" s="4" t="s">
        <v>87</v>
      </c>
      <c r="D32" s="3" t="n">
        <v>8</v>
      </c>
      <c r="E32" s="3" t="s">
        <v>95</v>
      </c>
      <c r="F32" s="3" t="s">
        <v>96</v>
      </c>
      <c r="G32" s="3" t="s">
        <v>90</v>
      </c>
    </row>
    <row r="33" customFormat="false" ht="15" hidden="false" customHeight="false" outlineLevel="0" collapsed="false">
      <c r="A33" s="3" t="s">
        <v>70</v>
      </c>
      <c r="B33" s="4" t="s">
        <v>86</v>
      </c>
      <c r="C33" s="4" t="s">
        <v>97</v>
      </c>
      <c r="D33" s="3" t="n">
        <v>4</v>
      </c>
      <c r="E33" s="3" t="s">
        <v>88</v>
      </c>
      <c r="F33" s="3" t="s">
        <v>89</v>
      </c>
      <c r="G33" s="3" t="s">
        <v>90</v>
      </c>
    </row>
    <row r="34" customFormat="false" ht="15" hidden="false" customHeight="false" outlineLevel="0" collapsed="false">
      <c r="A34" s="3" t="s">
        <v>72</v>
      </c>
      <c r="B34" s="4" t="s">
        <v>86</v>
      </c>
      <c r="C34" s="4" t="s">
        <v>87</v>
      </c>
      <c r="D34" s="3" t="n">
        <v>1</v>
      </c>
      <c r="E34" s="3" t="s">
        <v>88</v>
      </c>
      <c r="F34" s="3" t="s">
        <v>89</v>
      </c>
      <c r="G34" s="3" t="s">
        <v>90</v>
      </c>
    </row>
    <row r="35" customFormat="false" ht="15" hidden="false" customHeight="false" outlineLevel="0" collapsed="false">
      <c r="A35" s="3" t="s">
        <v>74</v>
      </c>
      <c r="B35" s="4" t="s">
        <v>93</v>
      </c>
      <c r="C35" s="4" t="s">
        <v>91</v>
      </c>
      <c r="D35" s="3" t="n">
        <v>17</v>
      </c>
      <c r="E35" s="3" t="s">
        <v>88</v>
      </c>
      <c r="F35" s="3" t="s">
        <v>89</v>
      </c>
      <c r="G35" s="3" t="s">
        <v>90</v>
      </c>
    </row>
    <row r="36" customFormat="false" ht="15" hidden="false" customHeight="false" outlineLevel="0" collapsed="false">
      <c r="A36" s="3" t="s">
        <v>76</v>
      </c>
      <c r="B36" s="4" t="s">
        <v>92</v>
      </c>
      <c r="C36" s="4" t="s">
        <v>97</v>
      </c>
      <c r="D36" s="3" t="n">
        <v>21</v>
      </c>
      <c r="E36" s="3" t="s">
        <v>95</v>
      </c>
      <c r="F36" s="3" t="s">
        <v>96</v>
      </c>
      <c r="G36" s="3" t="s">
        <v>90</v>
      </c>
    </row>
    <row r="37" customFormat="false" ht="15" hidden="false" customHeight="false" outlineLevel="0" collapsed="false">
      <c r="A37" s="3" t="s">
        <v>78</v>
      </c>
      <c r="B37" s="4" t="s">
        <v>86</v>
      </c>
      <c r="C37" s="4" t="s">
        <v>97</v>
      </c>
      <c r="D37" s="3" t="n">
        <v>22</v>
      </c>
      <c r="E37" s="3" t="s">
        <v>88</v>
      </c>
      <c r="F37" s="3" t="s">
        <v>89</v>
      </c>
      <c r="G37" s="3" t="s">
        <v>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5"/>
    <col collapsed="false" customWidth="true" hidden="false" outlineLevel="0" max="3" min="2" style="0" width="18"/>
    <col collapsed="false" customWidth="true" hidden="false" outlineLevel="0" max="4" min="4" style="0" width="12"/>
  </cols>
  <sheetData>
    <row r="1" customFormat="false" ht="17.35" hidden="false" customHeight="false" outlineLevel="0" collapsed="false">
      <c r="A1" s="8" t="s">
        <v>99</v>
      </c>
      <c r="B1" s="8"/>
      <c r="C1" s="8"/>
      <c r="D1" s="8"/>
    </row>
    <row r="3" customFormat="false" ht="15" hidden="false" customHeight="false" outlineLevel="0" collapsed="false">
      <c r="A3" s="9" t="s">
        <v>100</v>
      </c>
    </row>
    <row r="4" customFormat="false" ht="90" hidden="false" customHeight="true" outlineLevel="0" collapsed="false">
      <c r="A4" s="10" t="s">
        <v>101</v>
      </c>
      <c r="B4" s="10"/>
      <c r="C4" s="10"/>
      <c r="D4" s="10"/>
    </row>
    <row r="6" customFormat="false" ht="26.85" hidden="false" customHeight="false" outlineLevel="0" collapsed="false">
      <c r="A6" s="1" t="s">
        <v>0</v>
      </c>
      <c r="B6" s="1" t="s">
        <v>102</v>
      </c>
      <c r="C6" s="1" t="s">
        <v>103</v>
      </c>
      <c r="D6" s="1" t="s">
        <v>104</v>
      </c>
    </row>
    <row r="7" customFormat="false" ht="15" hidden="false" customHeight="false" outlineLevel="0" collapsed="false">
      <c r="A7" s="3" t="s">
        <v>7</v>
      </c>
      <c r="B7" s="3" t="n">
        <f aca="false">'Clinician Scoring'!D3</f>
        <v>0</v>
      </c>
      <c r="C7" s="5"/>
      <c r="D7" s="3" t="str">
        <f aca="false">IF(OR(B7="",C7=""),"",IF(B7=C7,"Yes","No"))</f>
        <v/>
      </c>
    </row>
    <row r="8" customFormat="false" ht="15" hidden="false" customHeight="false" outlineLevel="0" collapsed="false">
      <c r="A8" s="3" t="s">
        <v>10</v>
      </c>
      <c r="B8" s="3" t="n">
        <f aca="false">'Clinician Scoring'!D4</f>
        <v>0</v>
      </c>
      <c r="C8" s="5"/>
      <c r="D8" s="3" t="str">
        <f aca="false">IF(OR(B8="",C8=""),"",IF(B8=C8,"Yes","No"))</f>
        <v/>
      </c>
    </row>
    <row r="9" customFormat="false" ht="15" hidden="false" customHeight="false" outlineLevel="0" collapsed="false">
      <c r="A9" s="3" t="s">
        <v>12</v>
      </c>
      <c r="B9" s="3" t="n">
        <f aca="false">'Clinician Scoring'!D5</f>
        <v>0</v>
      </c>
      <c r="C9" s="5"/>
      <c r="D9" s="3" t="str">
        <f aca="false">IF(OR(B9="",C9=""),"",IF(B9=C9,"Yes","No"))</f>
        <v/>
      </c>
    </row>
    <row r="10" customFormat="false" ht="15" hidden="false" customHeight="false" outlineLevel="0" collapsed="false">
      <c r="A10" s="3" t="s">
        <v>14</v>
      </c>
      <c r="B10" s="3" t="n">
        <f aca="false">'Clinician Scoring'!D6</f>
        <v>0</v>
      </c>
      <c r="C10" s="5"/>
      <c r="D10" s="3" t="str">
        <f aca="false">IF(OR(B10="",C10=""),"",IF(B10=C10,"Yes","No"))</f>
        <v/>
      </c>
    </row>
    <row r="11" customFormat="false" ht="15" hidden="false" customHeight="false" outlineLevel="0" collapsed="false">
      <c r="A11" s="3" t="s">
        <v>16</v>
      </c>
      <c r="B11" s="3" t="n">
        <f aca="false">'Clinician Scoring'!D7</f>
        <v>0</v>
      </c>
      <c r="C11" s="5"/>
      <c r="D11" s="3" t="str">
        <f aca="false">IF(OR(B11="",C11=""),"",IF(B11=C11,"Yes","No"))</f>
        <v/>
      </c>
    </row>
    <row r="12" customFormat="false" ht="15" hidden="false" customHeight="false" outlineLevel="0" collapsed="false">
      <c r="A12" s="3" t="s">
        <v>18</v>
      </c>
      <c r="B12" s="3" t="n">
        <f aca="false">'Clinician Scoring'!D8</f>
        <v>0</v>
      </c>
      <c r="C12" s="5"/>
      <c r="D12" s="3" t="str">
        <f aca="false">IF(OR(B12="",C12=""),"",IF(B12=C12,"Yes","No"))</f>
        <v/>
      </c>
    </row>
    <row r="13" customFormat="false" ht="15" hidden="false" customHeight="false" outlineLevel="0" collapsed="false">
      <c r="A13" s="3" t="s">
        <v>20</v>
      </c>
      <c r="B13" s="3" t="n">
        <f aca="false">'Clinician Scoring'!D9</f>
        <v>0</v>
      </c>
      <c r="C13" s="5"/>
      <c r="D13" s="3" t="str">
        <f aca="false">IF(OR(B13="",C13=""),"",IF(B13=C13,"Yes","No"))</f>
        <v/>
      </c>
    </row>
    <row r="14" customFormat="false" ht="15" hidden="false" customHeight="false" outlineLevel="0" collapsed="false">
      <c r="A14" s="3" t="s">
        <v>22</v>
      </c>
      <c r="B14" s="3" t="n">
        <f aca="false">'Clinician Scoring'!D10</f>
        <v>0</v>
      </c>
      <c r="C14" s="5"/>
      <c r="D14" s="3" t="str">
        <f aca="false">IF(OR(B14="",C14=""),"",IF(B14=C14,"Yes","No"))</f>
        <v/>
      </c>
    </row>
    <row r="15" customFormat="false" ht="15" hidden="false" customHeight="false" outlineLevel="0" collapsed="false">
      <c r="A15" s="3" t="s">
        <v>24</v>
      </c>
      <c r="B15" s="3" t="n">
        <f aca="false">'Clinician Scoring'!D11</f>
        <v>0</v>
      </c>
      <c r="C15" s="5"/>
      <c r="D15" s="3" t="str">
        <f aca="false">IF(OR(B15="",C15=""),"",IF(B15=C15,"Yes","No"))</f>
        <v/>
      </c>
    </row>
    <row r="16" customFormat="false" ht="15" hidden="false" customHeight="false" outlineLevel="0" collapsed="false">
      <c r="A16" s="3" t="s">
        <v>26</v>
      </c>
      <c r="B16" s="3" t="n">
        <f aca="false">'Clinician Scoring'!D12</f>
        <v>0</v>
      </c>
      <c r="C16" s="5"/>
      <c r="D16" s="3" t="str">
        <f aca="false">IF(OR(B16="",C16=""),"",IF(B16=C16,"Yes","No"))</f>
        <v/>
      </c>
    </row>
    <row r="17" customFormat="false" ht="15" hidden="false" customHeight="false" outlineLevel="0" collapsed="false">
      <c r="A17" s="3" t="s">
        <v>28</v>
      </c>
      <c r="B17" s="3" t="n">
        <f aca="false">'Clinician Scoring'!D13</f>
        <v>0</v>
      </c>
      <c r="C17" s="5"/>
      <c r="D17" s="3" t="str">
        <f aca="false">IF(OR(B17="",C17=""),"",IF(B17=C17,"Yes","No"))</f>
        <v/>
      </c>
    </row>
    <row r="18" customFormat="false" ht="15" hidden="false" customHeight="false" outlineLevel="0" collapsed="false">
      <c r="A18" s="3" t="s">
        <v>30</v>
      </c>
      <c r="B18" s="3" t="n">
        <f aca="false">'Clinician Scoring'!D14</f>
        <v>0</v>
      </c>
      <c r="C18" s="5"/>
      <c r="D18" s="3" t="str">
        <f aca="false">IF(OR(B18="",C18=""),"",IF(B18=C18,"Yes","No"))</f>
        <v/>
      </c>
    </row>
    <row r="19" customFormat="false" ht="15" hidden="false" customHeight="false" outlineLevel="0" collapsed="false">
      <c r="A19" s="3" t="s">
        <v>32</v>
      </c>
      <c r="B19" s="3" t="n">
        <f aca="false">'Clinician Scoring'!D15</f>
        <v>0</v>
      </c>
      <c r="C19" s="5"/>
      <c r="D19" s="3" t="str">
        <f aca="false">IF(OR(B19="",C19=""),"",IF(B19=C19,"Yes","No"))</f>
        <v/>
      </c>
    </row>
    <row r="20" customFormat="false" ht="15" hidden="false" customHeight="false" outlineLevel="0" collapsed="false">
      <c r="A20" s="3" t="s">
        <v>34</v>
      </c>
      <c r="B20" s="3" t="n">
        <f aca="false">'Clinician Scoring'!D16</f>
        <v>0</v>
      </c>
      <c r="C20" s="5"/>
      <c r="D20" s="3" t="str">
        <f aca="false">IF(OR(B20="",C20=""),"",IF(B20=C20,"Yes","No"))</f>
        <v/>
      </c>
    </row>
    <row r="21" customFormat="false" ht="15" hidden="false" customHeight="false" outlineLevel="0" collapsed="false">
      <c r="A21" s="3" t="s">
        <v>36</v>
      </c>
      <c r="B21" s="3" t="n">
        <f aca="false">'Clinician Scoring'!D17</f>
        <v>0</v>
      </c>
      <c r="C21" s="5"/>
      <c r="D21" s="3" t="str">
        <f aca="false">IF(OR(B21="",C21=""),"",IF(B21=C21,"Yes","No"))</f>
        <v/>
      </c>
    </row>
    <row r="22" customFormat="false" ht="15" hidden="false" customHeight="false" outlineLevel="0" collapsed="false">
      <c r="A22" s="3" t="s">
        <v>38</v>
      </c>
      <c r="B22" s="3" t="n">
        <f aca="false">'Clinician Scoring'!D18</f>
        <v>0</v>
      </c>
      <c r="C22" s="5"/>
      <c r="D22" s="3" t="str">
        <f aca="false">IF(OR(B22="",C22=""),"",IF(B22=C22,"Yes","No"))</f>
        <v/>
      </c>
    </row>
    <row r="23" customFormat="false" ht="15" hidden="false" customHeight="false" outlineLevel="0" collapsed="false">
      <c r="A23" s="3" t="s">
        <v>40</v>
      </c>
      <c r="B23" s="3" t="n">
        <f aca="false">'Clinician Scoring'!D19</f>
        <v>0</v>
      </c>
      <c r="C23" s="5"/>
      <c r="D23" s="3" t="str">
        <f aca="false">IF(OR(B23="",C23=""),"",IF(B23=C23,"Yes","No"))</f>
        <v/>
      </c>
    </row>
    <row r="24" customFormat="false" ht="15" hidden="false" customHeight="false" outlineLevel="0" collapsed="false">
      <c r="A24" s="3" t="s">
        <v>42</v>
      </c>
      <c r="B24" s="3" t="n">
        <f aca="false">'Clinician Scoring'!D20</f>
        <v>0</v>
      </c>
      <c r="C24" s="5"/>
      <c r="D24" s="3" t="str">
        <f aca="false">IF(OR(B24="",C24=""),"",IF(B24=C24,"Yes","No"))</f>
        <v/>
      </c>
    </row>
    <row r="25" customFormat="false" ht="15" hidden="false" customHeight="false" outlineLevel="0" collapsed="false">
      <c r="A25" s="3" t="s">
        <v>44</v>
      </c>
      <c r="B25" s="3" t="n">
        <f aca="false">'Clinician Scoring'!D21</f>
        <v>0</v>
      </c>
      <c r="C25" s="5"/>
      <c r="D25" s="3" t="str">
        <f aca="false">IF(OR(B25="",C25=""),"",IF(B25=C25,"Yes","No"))</f>
        <v/>
      </c>
    </row>
    <row r="26" customFormat="false" ht="15" hidden="false" customHeight="false" outlineLevel="0" collapsed="false">
      <c r="A26" s="3" t="s">
        <v>46</v>
      </c>
      <c r="B26" s="3" t="n">
        <f aca="false">'Clinician Scoring'!D22</f>
        <v>0</v>
      </c>
      <c r="C26" s="5"/>
      <c r="D26" s="3" t="str">
        <f aca="false">IF(OR(B26="",C26=""),"",IF(B26=C26,"Yes","No"))</f>
        <v/>
      </c>
    </row>
    <row r="27" customFormat="false" ht="15" hidden="false" customHeight="false" outlineLevel="0" collapsed="false">
      <c r="A27" s="3" t="s">
        <v>48</v>
      </c>
      <c r="B27" s="3" t="n">
        <f aca="false">'Clinician Scoring'!D23</f>
        <v>0</v>
      </c>
      <c r="C27" s="5"/>
      <c r="D27" s="3" t="str">
        <f aca="false">IF(OR(B27="",C27=""),"",IF(B27=C27,"Yes","No"))</f>
        <v/>
      </c>
    </row>
    <row r="28" customFormat="false" ht="15" hidden="false" customHeight="false" outlineLevel="0" collapsed="false">
      <c r="A28" s="3" t="s">
        <v>50</v>
      </c>
      <c r="B28" s="3" t="n">
        <f aca="false">'Clinician Scoring'!D24</f>
        <v>0</v>
      </c>
      <c r="C28" s="5"/>
      <c r="D28" s="3" t="str">
        <f aca="false">IF(OR(B28="",C28=""),"",IF(B28=C28,"Yes","No"))</f>
        <v/>
      </c>
    </row>
    <row r="29" customFormat="false" ht="15" hidden="false" customHeight="false" outlineLevel="0" collapsed="false">
      <c r="A29" s="3" t="s">
        <v>52</v>
      </c>
      <c r="B29" s="3" t="n">
        <f aca="false">'Clinician Scoring'!D25</f>
        <v>0</v>
      </c>
      <c r="C29" s="5"/>
      <c r="D29" s="3" t="str">
        <f aca="false">IF(OR(B29="",C29=""),"",IF(B29=C29,"Yes","No"))</f>
        <v/>
      </c>
    </row>
    <row r="30" customFormat="false" ht="15" hidden="false" customHeight="false" outlineLevel="0" collapsed="false">
      <c r="A30" s="3" t="s">
        <v>54</v>
      </c>
      <c r="B30" s="3" t="n">
        <f aca="false">'Clinician Scoring'!D26</f>
        <v>0</v>
      </c>
      <c r="C30" s="5"/>
      <c r="D30" s="3" t="str">
        <f aca="false">IF(OR(B30="",C30=""),"",IF(B30=C30,"Yes","No"))</f>
        <v/>
      </c>
    </row>
    <row r="31" customFormat="false" ht="15" hidden="false" customHeight="false" outlineLevel="0" collapsed="false">
      <c r="A31" s="3" t="s">
        <v>56</v>
      </c>
      <c r="B31" s="3" t="n">
        <f aca="false">'Clinician Scoring'!D27</f>
        <v>0</v>
      </c>
      <c r="C31" s="5"/>
      <c r="D31" s="3" t="str">
        <f aca="false">IF(OR(B31="",C31=""),"",IF(B31=C31,"Yes","No"))</f>
        <v/>
      </c>
    </row>
    <row r="32" customFormat="false" ht="15" hidden="false" customHeight="false" outlineLevel="0" collapsed="false">
      <c r="A32" s="3" t="s">
        <v>58</v>
      </c>
      <c r="B32" s="3" t="n">
        <f aca="false">'Clinician Scoring'!D28</f>
        <v>0</v>
      </c>
      <c r="C32" s="5"/>
      <c r="D32" s="3" t="str">
        <f aca="false">IF(OR(B32="",C32=""),"",IF(B32=C32,"Yes","No"))</f>
        <v/>
      </c>
    </row>
    <row r="33" customFormat="false" ht="15" hidden="false" customHeight="false" outlineLevel="0" collapsed="false">
      <c r="A33" s="3" t="s">
        <v>60</v>
      </c>
      <c r="B33" s="3" t="n">
        <f aca="false">'Clinician Scoring'!D29</f>
        <v>0</v>
      </c>
      <c r="C33" s="5"/>
      <c r="D33" s="3" t="str">
        <f aca="false">IF(OR(B33="",C33=""),"",IF(B33=C33,"Yes","No"))</f>
        <v/>
      </c>
    </row>
    <row r="34" customFormat="false" ht="15" hidden="false" customHeight="false" outlineLevel="0" collapsed="false">
      <c r="A34" s="3" t="s">
        <v>62</v>
      </c>
      <c r="B34" s="3" t="n">
        <f aca="false">'Clinician Scoring'!D30</f>
        <v>0</v>
      </c>
      <c r="C34" s="5"/>
      <c r="D34" s="3" t="str">
        <f aca="false">IF(OR(B34="",C34=""),"",IF(B34=C34,"Yes","No"))</f>
        <v/>
      </c>
    </row>
    <row r="35" customFormat="false" ht="15" hidden="false" customHeight="false" outlineLevel="0" collapsed="false">
      <c r="A35" s="3" t="s">
        <v>64</v>
      </c>
      <c r="B35" s="3" t="n">
        <f aca="false">'Clinician Scoring'!D31</f>
        <v>0</v>
      </c>
      <c r="C35" s="5"/>
      <c r="D35" s="3" t="str">
        <f aca="false">IF(OR(B35="",C35=""),"",IF(B35=C35,"Yes","No"))</f>
        <v/>
      </c>
    </row>
    <row r="36" customFormat="false" ht="15" hidden="false" customHeight="false" outlineLevel="0" collapsed="false">
      <c r="A36" s="3" t="s">
        <v>66</v>
      </c>
      <c r="B36" s="3" t="n">
        <f aca="false">'Clinician Scoring'!D32</f>
        <v>0</v>
      </c>
      <c r="C36" s="5"/>
      <c r="D36" s="3" t="str">
        <f aca="false">IF(OR(B36="",C36=""),"",IF(B36=C36,"Yes","No"))</f>
        <v/>
      </c>
    </row>
    <row r="37" customFormat="false" ht="15" hidden="false" customHeight="false" outlineLevel="0" collapsed="false">
      <c r="A37" s="3" t="s">
        <v>68</v>
      </c>
      <c r="B37" s="3" t="n">
        <f aca="false">'Clinician Scoring'!D33</f>
        <v>0</v>
      </c>
      <c r="C37" s="5"/>
      <c r="D37" s="3" t="str">
        <f aca="false">IF(OR(B37="",C37=""),"",IF(B37=C37,"Yes","No"))</f>
        <v/>
      </c>
    </row>
    <row r="38" customFormat="false" ht="15" hidden="false" customHeight="false" outlineLevel="0" collapsed="false">
      <c r="A38" s="3" t="s">
        <v>70</v>
      </c>
      <c r="B38" s="3" t="n">
        <f aca="false">'Clinician Scoring'!D34</f>
        <v>0</v>
      </c>
      <c r="C38" s="5"/>
      <c r="D38" s="3" t="str">
        <f aca="false">IF(OR(B38="",C38=""),"",IF(B38=C38,"Yes","No"))</f>
        <v/>
      </c>
    </row>
    <row r="39" customFormat="false" ht="15" hidden="false" customHeight="false" outlineLevel="0" collapsed="false">
      <c r="A39" s="3" t="s">
        <v>72</v>
      </c>
      <c r="B39" s="3" t="n">
        <f aca="false">'Clinician Scoring'!D35</f>
        <v>0</v>
      </c>
      <c r="C39" s="5"/>
      <c r="D39" s="3" t="str">
        <f aca="false">IF(OR(B39="",C39=""),"",IF(B39=C39,"Yes","No"))</f>
        <v/>
      </c>
    </row>
    <row r="40" customFormat="false" ht="15" hidden="false" customHeight="false" outlineLevel="0" collapsed="false">
      <c r="A40" s="3" t="s">
        <v>74</v>
      </c>
      <c r="B40" s="3" t="n">
        <f aca="false">'Clinician Scoring'!D36</f>
        <v>0</v>
      </c>
      <c r="C40" s="5"/>
      <c r="D40" s="3" t="str">
        <f aca="false">IF(OR(B40="",C40=""),"",IF(B40=C40,"Yes","No"))</f>
        <v/>
      </c>
    </row>
    <row r="41" customFormat="false" ht="15" hidden="false" customHeight="false" outlineLevel="0" collapsed="false">
      <c r="A41" s="3" t="s">
        <v>76</v>
      </c>
      <c r="B41" s="3" t="n">
        <f aca="false">'Clinician Scoring'!D37</f>
        <v>0</v>
      </c>
      <c r="C41" s="5"/>
      <c r="D41" s="3" t="str">
        <f aca="false">IF(OR(B41="",C41=""),"",IF(B41=C41,"Yes","No"))</f>
        <v/>
      </c>
    </row>
    <row r="42" customFormat="false" ht="15" hidden="false" customHeight="false" outlineLevel="0" collapsed="false">
      <c r="A42" s="3" t="s">
        <v>78</v>
      </c>
      <c r="B42" s="3" t="n">
        <f aca="false">'Clinician Scoring'!D38</f>
        <v>0</v>
      </c>
      <c r="C42" s="5"/>
      <c r="D42" s="3" t="str">
        <f aca="false">IF(OR(B42="",C42=""),"",IF(B42=C42,"Yes","No"))</f>
        <v/>
      </c>
    </row>
    <row r="44" customFormat="false" ht="15" hidden="false" customHeight="false" outlineLevel="0" collapsed="false">
      <c r="A44" s="11" t="s">
        <v>105</v>
      </c>
      <c r="B44" s="11"/>
      <c r="C44" s="11"/>
      <c r="D44" s="11"/>
    </row>
    <row r="45" customFormat="false" ht="15" hidden="false" customHeight="false" outlineLevel="0" collapsed="false">
      <c r="A45" s="12" t="s">
        <v>106</v>
      </c>
      <c r="B45" s="13" t="n">
        <f aca="false">COUNTA(D7:D42)-COUNTIF(D7:D42,"")</f>
        <v>0</v>
      </c>
    </row>
    <row r="46" customFormat="false" ht="15" hidden="false" customHeight="false" outlineLevel="0" collapsed="false">
      <c r="A46" s="12" t="s">
        <v>107</v>
      </c>
      <c r="B46" s="13" t="n">
        <f aca="false">COUNTIF(D7:D42,"Yes")</f>
        <v>0</v>
      </c>
    </row>
    <row r="47" customFormat="false" ht="15" hidden="false" customHeight="false" outlineLevel="0" collapsed="false">
      <c r="A47" s="12" t="s">
        <v>108</v>
      </c>
      <c r="B47" s="14" t="str">
        <f aca="false">IF(B45=0,"",B46/B45)</f>
        <v/>
      </c>
    </row>
    <row r="48" customFormat="false" ht="15" hidden="false" customHeight="false" outlineLevel="0" collapsed="false">
      <c r="A48" s="12"/>
      <c r="B48" s="13"/>
    </row>
    <row r="49" customFormat="false" ht="15" hidden="false" customHeight="false" outlineLevel="0" collapsed="false">
      <c r="A49" s="12" t="s">
        <v>109</v>
      </c>
      <c r="B49" s="13" t="n">
        <f aca="false">SUMPRODUCT((B7:B42="A")*(C7:C42="A"))</f>
        <v>0</v>
      </c>
    </row>
    <row r="50" customFormat="false" ht="15" hidden="false" customHeight="false" outlineLevel="0" collapsed="false">
      <c r="A50" s="12" t="s">
        <v>110</v>
      </c>
      <c r="B50" s="13" t="n">
        <f aca="false">COUNTIF(B7:B42,"A")</f>
        <v>0</v>
      </c>
    </row>
    <row r="51" customFormat="false" ht="15" hidden="false" customHeight="false" outlineLevel="0" collapsed="false">
      <c r="A51" s="12" t="s">
        <v>111</v>
      </c>
      <c r="B51" s="13" t="n">
        <f aca="false">COUNTIF(C7:C42,"A")</f>
        <v>0</v>
      </c>
    </row>
  </sheetData>
  <mergeCells count="3">
    <mergeCell ref="A1:D1"/>
    <mergeCell ref="A4:D4"/>
    <mergeCell ref="A44:D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2"/>
    <col collapsed="false" customWidth="true" hidden="false" outlineLevel="0" max="2" min="2" style="0" width="25"/>
    <col collapsed="false" customWidth="true" hidden="false" outlineLevel="0" max="3" min="3" style="0" width="22"/>
    <col collapsed="false" customWidth="true" hidden="false" outlineLevel="0" max="5" min="4" style="0" width="16"/>
    <col collapsed="false" customWidth="true" hidden="false" outlineLevel="0" max="6" min="6" style="0" width="10"/>
  </cols>
  <sheetData>
    <row r="1" customFormat="false" ht="17.35" hidden="false" customHeight="false" outlineLevel="0" collapsed="false">
      <c r="A1" s="8" t="s">
        <v>112</v>
      </c>
      <c r="B1" s="8"/>
      <c r="C1" s="8"/>
      <c r="D1" s="8"/>
      <c r="E1" s="8"/>
      <c r="F1" s="8"/>
    </row>
    <row r="3" customFormat="false" ht="26.85" hidden="false" customHeight="false" outlineLevel="0" collapsed="false">
      <c r="A3" s="1" t="s">
        <v>0</v>
      </c>
      <c r="B3" s="1" t="s">
        <v>80</v>
      </c>
      <c r="C3" s="1" t="s">
        <v>81</v>
      </c>
      <c r="D3" s="1" t="s">
        <v>113</v>
      </c>
      <c r="E3" s="1" t="s">
        <v>114</v>
      </c>
      <c r="F3" s="1" t="s">
        <v>115</v>
      </c>
    </row>
    <row r="4" customFormat="false" ht="15" hidden="false" customHeight="false" outlineLevel="0" collapsed="false">
      <c r="A4" s="3" t="s">
        <v>7</v>
      </c>
      <c r="B4" s="4" t="str">
        <f aca="false">'Answer Key (DO NOT VIEW)'!B2</f>
        <v>claude-opus-4.6</v>
      </c>
      <c r="C4" s="4" t="str">
        <f aca="false">'Answer Key (DO NOT VIEW)'!C2</f>
        <v>all_constraints</v>
      </c>
      <c r="D4" s="3" t="str">
        <f aca="false">'Answer Key (DO NOT VIEW)'!E2</f>
        <v>A</v>
      </c>
      <c r="E4" s="3" t="n">
        <f aca="false">'Clinician Scoring'!D3</f>
        <v>0</v>
      </c>
      <c r="F4" s="3" t="str">
        <f aca="false">IF(OR(D4="",E4=""),"",IF(D4=E4,"Yes","No"))</f>
        <v/>
      </c>
    </row>
    <row r="5" customFormat="false" ht="15" hidden="false" customHeight="false" outlineLevel="0" collapsed="false">
      <c r="A5" s="3" t="s">
        <v>10</v>
      </c>
      <c r="B5" s="4" t="str">
        <f aca="false">'Answer Key (DO NOT VIEW)'!B3</f>
        <v>claude-opus-4.6</v>
      </c>
      <c r="C5" s="4" t="str">
        <f aca="false">'Answer Key (DO NOT VIEW)'!C3</f>
        <v>free_text</v>
      </c>
      <c r="D5" s="3" t="str">
        <f aca="false">'Answer Key (DO NOT VIEW)'!E3</f>
        <v>A</v>
      </c>
      <c r="E5" s="3" t="n">
        <f aca="false">'Clinician Scoring'!D4</f>
        <v>0</v>
      </c>
      <c r="F5" s="3" t="str">
        <f aca="false">IF(OR(D5="",E5=""),"",IF(D5=E5,"Yes","No"))</f>
        <v/>
      </c>
    </row>
    <row r="6" customFormat="false" ht="15" hidden="false" customHeight="false" outlineLevel="0" collapsed="false">
      <c r="A6" s="3" t="s">
        <v>12</v>
      </c>
      <c r="B6" s="4" t="str">
        <f aca="false">'Answer Key (DO NOT VIEW)'!B4</f>
        <v>gemini-3-flash</v>
      </c>
      <c r="C6" s="4" t="str">
        <f aca="false">'Answer Key (DO NOT VIEW)'!C4</f>
        <v>free_text</v>
      </c>
      <c r="D6" s="3" t="str">
        <f aca="false">'Answer Key (DO NOT VIEW)'!E4</f>
        <v>A</v>
      </c>
      <c r="E6" s="3" t="n">
        <f aca="false">'Clinician Scoring'!D5</f>
        <v>0</v>
      </c>
      <c r="F6" s="3" t="str">
        <f aca="false">IF(OR(D6="",E6=""),"",IF(D6=E6,"Yes","No"))</f>
        <v/>
      </c>
    </row>
    <row r="7" customFormat="false" ht="15" hidden="false" customHeight="false" outlineLevel="0" collapsed="false">
      <c r="A7" s="3" t="s">
        <v>14</v>
      </c>
      <c r="B7" s="4" t="str">
        <f aca="false">'Answer Key (DO NOT VIEW)'!B5</f>
        <v>claude-sonnet-4.6</v>
      </c>
      <c r="C7" s="4" t="str">
        <f aca="false">'Answer Key (DO NOT VIEW)'!C5</f>
        <v>all_constraints</v>
      </c>
      <c r="D7" s="3" t="str">
        <f aca="false">'Answer Key (DO NOT VIEW)'!E5</f>
        <v>A</v>
      </c>
      <c r="E7" s="3" t="n">
        <f aca="false">'Clinician Scoring'!D6</f>
        <v>0</v>
      </c>
      <c r="F7" s="3" t="str">
        <f aca="false">IF(OR(D7="",E7=""),"",IF(D7=E7,"Yes","No"))</f>
        <v/>
      </c>
    </row>
    <row r="8" customFormat="false" ht="15" hidden="false" customHeight="false" outlineLevel="0" collapsed="false">
      <c r="A8" s="3" t="s">
        <v>16</v>
      </c>
      <c r="B8" s="4" t="str">
        <f aca="false">'Answer Key (DO NOT VIEW)'!B6</f>
        <v>gpt-5.2-thinking-high</v>
      </c>
      <c r="C8" s="4" t="str">
        <f aca="false">'Answer Key (DO NOT VIEW)'!C6</f>
        <v>all_constraints</v>
      </c>
      <c r="D8" s="3" t="str">
        <f aca="false">'Answer Key (DO NOT VIEW)'!E6</f>
        <v>B</v>
      </c>
      <c r="E8" s="3" t="n">
        <f aca="false">'Clinician Scoring'!D7</f>
        <v>0</v>
      </c>
      <c r="F8" s="3" t="str">
        <f aca="false">IF(OR(D8="",E8=""),"",IF(D8=E8,"Yes","No"))</f>
        <v/>
      </c>
    </row>
    <row r="9" customFormat="false" ht="15" hidden="false" customHeight="false" outlineLevel="0" collapsed="false">
      <c r="A9" s="3" t="s">
        <v>18</v>
      </c>
      <c r="B9" s="4" t="str">
        <f aca="false">'Answer Key (DO NOT VIEW)'!B7</f>
        <v>claude-sonnet-4.6</v>
      </c>
      <c r="C9" s="4" t="str">
        <f aca="false">'Answer Key (DO NOT VIEW)'!C7</f>
        <v>free_text</v>
      </c>
      <c r="D9" s="3" t="str">
        <f aca="false">'Answer Key (DO NOT VIEW)'!E7</f>
        <v>A</v>
      </c>
      <c r="E9" s="3" t="n">
        <f aca="false">'Clinician Scoring'!D8</f>
        <v>0</v>
      </c>
      <c r="F9" s="3" t="str">
        <f aca="false">IF(OR(D9="",E9=""),"",IF(D9=E9,"Yes","No"))</f>
        <v/>
      </c>
    </row>
    <row r="10" customFormat="false" ht="15" hidden="false" customHeight="false" outlineLevel="0" collapsed="false">
      <c r="A10" s="3" t="s">
        <v>20</v>
      </c>
      <c r="B10" s="4" t="str">
        <f aca="false">'Answer Key (DO NOT VIEW)'!B8</f>
        <v>gpt-5.2-thinking-high</v>
      </c>
      <c r="C10" s="4" t="str">
        <f aca="false">'Answer Key (DO NOT VIEW)'!C8</f>
        <v>forced_choice_baseline</v>
      </c>
      <c r="D10" s="3" t="str">
        <f aca="false">'Answer Key (DO NOT VIEW)'!E8</f>
        <v>B</v>
      </c>
      <c r="E10" s="3" t="n">
        <f aca="false">'Clinician Scoring'!D9</f>
        <v>0</v>
      </c>
      <c r="F10" s="3" t="str">
        <f aca="false">IF(OR(D10="",E10=""),"",IF(D10=E10,"Yes","No"))</f>
        <v/>
      </c>
    </row>
    <row r="11" customFormat="false" ht="15" hidden="false" customHeight="false" outlineLevel="0" collapsed="false">
      <c r="A11" s="3" t="s">
        <v>22</v>
      </c>
      <c r="B11" s="4" t="str">
        <f aca="false">'Answer Key (DO NOT VIEW)'!B9</f>
        <v>claude-sonnet-4.6</v>
      </c>
      <c r="C11" s="4" t="str">
        <f aca="false">'Answer Key (DO NOT VIEW)'!C9</f>
        <v>forced_choice_baseline</v>
      </c>
      <c r="D11" s="3" t="str">
        <f aca="false">'Answer Key (DO NOT VIEW)'!E9</f>
        <v>A</v>
      </c>
      <c r="E11" s="3" t="n">
        <f aca="false">'Clinician Scoring'!D10</f>
        <v>0</v>
      </c>
      <c r="F11" s="3" t="str">
        <f aca="false">IF(OR(D11="",E11=""),"",IF(D11=E11,"Yes","No"))</f>
        <v/>
      </c>
    </row>
    <row r="12" customFormat="false" ht="15" hidden="false" customHeight="false" outlineLevel="0" collapsed="false">
      <c r="A12" s="3" t="s">
        <v>24</v>
      </c>
      <c r="B12" s="4" t="str">
        <f aca="false">'Answer Key (DO NOT VIEW)'!B10</f>
        <v>claude-opus-4.6</v>
      </c>
      <c r="C12" s="4" t="str">
        <f aca="false">'Answer Key (DO NOT VIEW)'!C10</f>
        <v>all_constraints</v>
      </c>
      <c r="D12" s="3" t="str">
        <f aca="false">'Answer Key (DO NOT VIEW)'!E10</f>
        <v>A</v>
      </c>
      <c r="E12" s="3" t="n">
        <f aca="false">'Clinician Scoring'!D11</f>
        <v>0</v>
      </c>
      <c r="F12" s="3" t="str">
        <f aca="false">IF(OR(D12="",E12=""),"",IF(D12=E12,"Yes","No"))</f>
        <v/>
      </c>
    </row>
    <row r="13" customFormat="false" ht="15" hidden="false" customHeight="false" outlineLevel="0" collapsed="false">
      <c r="A13" s="3" t="s">
        <v>26</v>
      </c>
      <c r="B13" s="4" t="str">
        <f aca="false">'Answer Key (DO NOT VIEW)'!B11</f>
        <v>gpt-5.2-thinking-high</v>
      </c>
      <c r="C13" s="4" t="str">
        <f aca="false">'Answer Key (DO NOT VIEW)'!C11</f>
        <v>free_text</v>
      </c>
      <c r="D13" s="3" t="str">
        <f aca="false">'Answer Key (DO NOT VIEW)'!E11</f>
        <v>A</v>
      </c>
      <c r="E13" s="3" t="n">
        <f aca="false">'Clinician Scoring'!D12</f>
        <v>0</v>
      </c>
      <c r="F13" s="3" t="str">
        <f aca="false">IF(OR(D13="",E13=""),"",IF(D13=E13,"Yes","No"))</f>
        <v/>
      </c>
    </row>
    <row r="14" customFormat="false" ht="15" hidden="false" customHeight="false" outlineLevel="0" collapsed="false">
      <c r="A14" s="3" t="s">
        <v>28</v>
      </c>
      <c r="B14" s="4" t="str">
        <f aca="false">'Answer Key (DO NOT VIEW)'!B12</f>
        <v>gemini-3-flash</v>
      </c>
      <c r="C14" s="4" t="str">
        <f aca="false">'Answer Key (DO NOT VIEW)'!C12</f>
        <v>free_text</v>
      </c>
      <c r="D14" s="3" t="str">
        <f aca="false">'Answer Key (DO NOT VIEW)'!E12</f>
        <v>A</v>
      </c>
      <c r="E14" s="3" t="n">
        <f aca="false">'Clinician Scoring'!D13</f>
        <v>0</v>
      </c>
      <c r="F14" s="3" t="str">
        <f aca="false">IF(OR(D14="",E14=""),"",IF(D14=E14,"Yes","No"))</f>
        <v/>
      </c>
    </row>
    <row r="15" customFormat="false" ht="15" hidden="false" customHeight="false" outlineLevel="0" collapsed="false">
      <c r="A15" s="3" t="s">
        <v>30</v>
      </c>
      <c r="B15" s="4" t="str">
        <f aca="false">'Answer Key (DO NOT VIEW)'!B13</f>
        <v>gemini-3-flash</v>
      </c>
      <c r="C15" s="4" t="str">
        <f aca="false">'Answer Key (DO NOT VIEW)'!C13</f>
        <v>forced_choice_baseline</v>
      </c>
      <c r="D15" s="3" t="str">
        <f aca="false">'Answer Key (DO NOT VIEW)'!E13</f>
        <v>B</v>
      </c>
      <c r="E15" s="3" t="n">
        <f aca="false">'Clinician Scoring'!D14</f>
        <v>0</v>
      </c>
      <c r="F15" s="3" t="str">
        <f aca="false">IF(OR(D15="",E15=""),"",IF(D15=E15,"Yes","No"))</f>
        <v/>
      </c>
    </row>
    <row r="16" customFormat="false" ht="15" hidden="false" customHeight="false" outlineLevel="0" collapsed="false">
      <c r="A16" s="3" t="s">
        <v>32</v>
      </c>
      <c r="B16" s="4" t="str">
        <f aca="false">'Answer Key (DO NOT VIEW)'!B14</f>
        <v>gpt-5.2-thinking-high</v>
      </c>
      <c r="C16" s="4" t="str">
        <f aca="false">'Answer Key (DO NOT VIEW)'!C14</f>
        <v>free_text</v>
      </c>
      <c r="D16" s="3" t="str">
        <f aca="false">'Answer Key (DO NOT VIEW)'!E14</f>
        <v>A</v>
      </c>
      <c r="E16" s="3" t="n">
        <f aca="false">'Clinician Scoring'!D15</f>
        <v>0</v>
      </c>
      <c r="F16" s="3" t="str">
        <f aca="false">IF(OR(D16="",E16=""),"",IF(D16=E16,"Yes","No"))</f>
        <v/>
      </c>
    </row>
    <row r="17" customFormat="false" ht="15" hidden="false" customHeight="false" outlineLevel="0" collapsed="false">
      <c r="A17" s="3" t="s">
        <v>34</v>
      </c>
      <c r="B17" s="4" t="str">
        <f aca="false">'Answer Key (DO NOT VIEW)'!B15</f>
        <v>claude-sonnet-4.6</v>
      </c>
      <c r="C17" s="4" t="str">
        <f aca="false">'Answer Key (DO NOT VIEW)'!C15</f>
        <v>forced_choice_baseline</v>
      </c>
      <c r="D17" s="3" t="str">
        <f aca="false">'Answer Key (DO NOT VIEW)'!E15</f>
        <v>A</v>
      </c>
      <c r="E17" s="3" t="n">
        <f aca="false">'Clinician Scoring'!D16</f>
        <v>0</v>
      </c>
      <c r="F17" s="3" t="str">
        <f aca="false">IF(OR(D17="",E17=""),"",IF(D17=E17,"Yes","No"))</f>
        <v/>
      </c>
    </row>
    <row r="18" customFormat="false" ht="15" hidden="false" customHeight="false" outlineLevel="0" collapsed="false">
      <c r="A18" s="3" t="s">
        <v>36</v>
      </c>
      <c r="B18" s="4" t="str">
        <f aca="false">'Answer Key (DO NOT VIEW)'!B16</f>
        <v>gemini-3-flash</v>
      </c>
      <c r="C18" s="4" t="str">
        <f aca="false">'Answer Key (DO NOT VIEW)'!C16</f>
        <v>all_constraints</v>
      </c>
      <c r="D18" s="3" t="str">
        <f aca="false">'Answer Key (DO NOT VIEW)'!E16</f>
        <v>PARSE_FAIL</v>
      </c>
      <c r="E18" s="3" t="n">
        <f aca="false">'Clinician Scoring'!D17</f>
        <v>0</v>
      </c>
      <c r="F18" s="3" t="str">
        <f aca="false">IF(OR(D18="",E18=""),"",IF(D18=E18,"Yes","No"))</f>
        <v/>
      </c>
    </row>
    <row r="19" customFormat="false" ht="15" hidden="false" customHeight="false" outlineLevel="0" collapsed="false">
      <c r="A19" s="3" t="s">
        <v>38</v>
      </c>
      <c r="B19" s="4" t="str">
        <f aca="false">'Answer Key (DO NOT VIEW)'!B17</f>
        <v>claude-sonnet-4.6</v>
      </c>
      <c r="C19" s="4" t="str">
        <f aca="false">'Answer Key (DO NOT VIEW)'!C17</f>
        <v>all_constraints</v>
      </c>
      <c r="D19" s="3" t="str">
        <f aca="false">'Answer Key (DO NOT VIEW)'!E17</f>
        <v>A</v>
      </c>
      <c r="E19" s="3" t="n">
        <f aca="false">'Clinician Scoring'!D18</f>
        <v>0</v>
      </c>
      <c r="F19" s="3" t="str">
        <f aca="false">IF(OR(D19="",E19=""),"",IF(D19=E19,"Yes","No"))</f>
        <v/>
      </c>
    </row>
    <row r="20" customFormat="false" ht="15" hidden="false" customHeight="false" outlineLevel="0" collapsed="false">
      <c r="A20" s="3" t="s">
        <v>40</v>
      </c>
      <c r="B20" s="4" t="str">
        <f aca="false">'Answer Key (DO NOT VIEW)'!B18</f>
        <v>gemini-3-flash</v>
      </c>
      <c r="C20" s="4" t="str">
        <f aca="false">'Answer Key (DO NOT VIEW)'!C18</f>
        <v>forced_choice_baseline</v>
      </c>
      <c r="D20" s="3" t="str">
        <f aca="false">'Answer Key (DO NOT VIEW)'!E18</f>
        <v>A</v>
      </c>
      <c r="E20" s="3" t="n">
        <f aca="false">'Clinician Scoring'!D19</f>
        <v>0</v>
      </c>
      <c r="F20" s="3" t="str">
        <f aca="false">IF(OR(D20="",E20=""),"",IF(D20=E20,"Yes","No"))</f>
        <v/>
      </c>
    </row>
    <row r="21" customFormat="false" ht="15" hidden="false" customHeight="false" outlineLevel="0" collapsed="false">
      <c r="A21" s="3" t="s">
        <v>42</v>
      </c>
      <c r="B21" s="4" t="str">
        <f aca="false">'Answer Key (DO NOT VIEW)'!B19</f>
        <v>gemini-3-flash</v>
      </c>
      <c r="C21" s="4" t="str">
        <f aca="false">'Answer Key (DO NOT VIEW)'!C19</f>
        <v>free_text</v>
      </c>
      <c r="D21" s="3" t="str">
        <f aca="false">'Answer Key (DO NOT VIEW)'!E19</f>
        <v>A</v>
      </c>
      <c r="E21" s="3" t="n">
        <f aca="false">'Clinician Scoring'!D20</f>
        <v>0</v>
      </c>
      <c r="F21" s="3" t="str">
        <f aca="false">IF(OR(D21="",E21=""),"",IF(D21=E21,"Yes","No"))</f>
        <v/>
      </c>
    </row>
    <row r="22" customFormat="false" ht="15" hidden="false" customHeight="false" outlineLevel="0" collapsed="false">
      <c r="A22" s="3" t="s">
        <v>44</v>
      </c>
      <c r="B22" s="4" t="str">
        <f aca="false">'Answer Key (DO NOT VIEW)'!B20</f>
        <v>claude-opus-4.6</v>
      </c>
      <c r="C22" s="4" t="str">
        <f aca="false">'Answer Key (DO NOT VIEW)'!C20</f>
        <v>free_text</v>
      </c>
      <c r="D22" s="3" t="str">
        <f aca="false">'Answer Key (DO NOT VIEW)'!E20</f>
        <v>A</v>
      </c>
      <c r="E22" s="3" t="n">
        <f aca="false">'Clinician Scoring'!D21</f>
        <v>0</v>
      </c>
      <c r="F22" s="3" t="str">
        <f aca="false">IF(OR(D22="",E22=""),"",IF(D22=E22,"Yes","No"))</f>
        <v/>
      </c>
    </row>
    <row r="23" customFormat="false" ht="15" hidden="false" customHeight="false" outlineLevel="0" collapsed="false">
      <c r="A23" s="3" t="s">
        <v>46</v>
      </c>
      <c r="B23" s="4" t="str">
        <f aca="false">'Answer Key (DO NOT VIEW)'!B21</f>
        <v>gpt-5.2-thinking-high</v>
      </c>
      <c r="C23" s="4" t="str">
        <f aca="false">'Answer Key (DO NOT VIEW)'!C21</f>
        <v>forced_choice_baseline</v>
      </c>
      <c r="D23" s="3" t="str">
        <f aca="false">'Answer Key (DO NOT VIEW)'!E21</f>
        <v>B</v>
      </c>
      <c r="E23" s="3" t="n">
        <f aca="false">'Clinician Scoring'!D22</f>
        <v>0</v>
      </c>
      <c r="F23" s="3" t="str">
        <f aca="false">IF(OR(D23="",E23=""),"",IF(D23=E23,"Yes","No"))</f>
        <v/>
      </c>
    </row>
    <row r="24" customFormat="false" ht="15" hidden="false" customHeight="false" outlineLevel="0" collapsed="false">
      <c r="A24" s="3" t="s">
        <v>48</v>
      </c>
      <c r="B24" s="4" t="str">
        <f aca="false">'Answer Key (DO NOT VIEW)'!B22</f>
        <v>gpt-5.2-thinking-high</v>
      </c>
      <c r="C24" s="4" t="str">
        <f aca="false">'Answer Key (DO NOT VIEW)'!C22</f>
        <v>all_constraints</v>
      </c>
      <c r="D24" s="3" t="str">
        <f aca="false">'Answer Key (DO NOT VIEW)'!E22</f>
        <v>A</v>
      </c>
      <c r="E24" s="3" t="n">
        <f aca="false">'Clinician Scoring'!D23</f>
        <v>0</v>
      </c>
      <c r="F24" s="3" t="str">
        <f aca="false">IF(OR(D24="",E24=""),"",IF(D24=E24,"Yes","No"))</f>
        <v/>
      </c>
    </row>
    <row r="25" customFormat="false" ht="15" hidden="false" customHeight="false" outlineLevel="0" collapsed="false">
      <c r="A25" s="3" t="s">
        <v>50</v>
      </c>
      <c r="B25" s="4" t="str">
        <f aca="false">'Answer Key (DO NOT VIEW)'!B23</f>
        <v>claude-sonnet-4.6</v>
      </c>
      <c r="C25" s="4" t="str">
        <f aca="false">'Answer Key (DO NOT VIEW)'!C23</f>
        <v>forced_choice_baseline</v>
      </c>
      <c r="D25" s="3" t="str">
        <f aca="false">'Answer Key (DO NOT VIEW)'!E23</f>
        <v>A</v>
      </c>
      <c r="E25" s="3" t="n">
        <f aca="false">'Clinician Scoring'!D24</f>
        <v>0</v>
      </c>
      <c r="F25" s="3" t="str">
        <f aca="false">IF(OR(D25="",E25=""),"",IF(D25=E25,"Yes","No"))</f>
        <v/>
      </c>
    </row>
    <row r="26" customFormat="false" ht="15" hidden="false" customHeight="false" outlineLevel="0" collapsed="false">
      <c r="A26" s="3" t="s">
        <v>52</v>
      </c>
      <c r="B26" s="4" t="str">
        <f aca="false">'Answer Key (DO NOT VIEW)'!B24</f>
        <v>claude-sonnet-4.6</v>
      </c>
      <c r="C26" s="4" t="str">
        <f aca="false">'Answer Key (DO NOT VIEW)'!C24</f>
        <v>free_text</v>
      </c>
      <c r="D26" s="3" t="str">
        <f aca="false">'Answer Key (DO NOT VIEW)'!E24</f>
        <v>A</v>
      </c>
      <c r="E26" s="3" t="n">
        <f aca="false">'Clinician Scoring'!D25</f>
        <v>0</v>
      </c>
      <c r="F26" s="3" t="str">
        <f aca="false">IF(OR(D26="",E26=""),"",IF(D26=E26,"Yes","No"))</f>
        <v/>
      </c>
    </row>
    <row r="27" customFormat="false" ht="15" hidden="false" customHeight="false" outlineLevel="0" collapsed="false">
      <c r="A27" s="3" t="s">
        <v>54</v>
      </c>
      <c r="B27" s="4" t="str">
        <f aca="false">'Answer Key (DO NOT VIEW)'!B25</f>
        <v>claude-opus-4.6</v>
      </c>
      <c r="C27" s="4" t="str">
        <f aca="false">'Answer Key (DO NOT VIEW)'!C25</f>
        <v>forced_choice_baseline</v>
      </c>
      <c r="D27" s="3" t="str">
        <f aca="false">'Answer Key (DO NOT VIEW)'!E25</f>
        <v>A</v>
      </c>
      <c r="E27" s="3" t="n">
        <f aca="false">'Clinician Scoring'!D26</f>
        <v>0</v>
      </c>
      <c r="F27" s="3" t="str">
        <f aca="false">IF(OR(D27="",E27=""),"",IF(D27=E27,"Yes","No"))</f>
        <v/>
      </c>
    </row>
    <row r="28" customFormat="false" ht="15" hidden="false" customHeight="false" outlineLevel="0" collapsed="false">
      <c r="A28" s="3" t="s">
        <v>56</v>
      </c>
      <c r="B28" s="4" t="str">
        <f aca="false">'Answer Key (DO NOT VIEW)'!B26</f>
        <v>gemini-3-flash</v>
      </c>
      <c r="C28" s="4" t="str">
        <f aca="false">'Answer Key (DO NOT VIEW)'!C26</f>
        <v>all_constraints</v>
      </c>
      <c r="D28" s="3" t="str">
        <f aca="false">'Answer Key (DO NOT VIEW)'!E26</f>
        <v>PARSE_FAIL</v>
      </c>
      <c r="E28" s="3" t="n">
        <f aca="false">'Clinician Scoring'!D27</f>
        <v>0</v>
      </c>
      <c r="F28" s="3" t="str">
        <f aca="false">IF(OR(D28="",E28=""),"",IF(D28=E28,"Yes","No"))</f>
        <v/>
      </c>
    </row>
    <row r="29" customFormat="false" ht="15" hidden="false" customHeight="false" outlineLevel="0" collapsed="false">
      <c r="A29" s="3" t="s">
        <v>58</v>
      </c>
      <c r="B29" s="4" t="str">
        <f aca="false">'Answer Key (DO NOT VIEW)'!B27</f>
        <v>claude-opus-4.6</v>
      </c>
      <c r="C29" s="4" t="str">
        <f aca="false">'Answer Key (DO NOT VIEW)'!C27</f>
        <v>free_text</v>
      </c>
      <c r="D29" s="3" t="str">
        <f aca="false">'Answer Key (DO NOT VIEW)'!E27</f>
        <v>A</v>
      </c>
      <c r="E29" s="3" t="n">
        <f aca="false">'Clinician Scoring'!D28</f>
        <v>0</v>
      </c>
      <c r="F29" s="3" t="str">
        <f aca="false">IF(OR(D29="",E29=""),"",IF(D29=E29,"Yes","No"))</f>
        <v/>
      </c>
    </row>
    <row r="30" customFormat="false" ht="15" hidden="false" customHeight="false" outlineLevel="0" collapsed="false">
      <c r="A30" s="3" t="s">
        <v>60</v>
      </c>
      <c r="B30" s="4" t="str">
        <f aca="false">'Answer Key (DO NOT VIEW)'!B28</f>
        <v>gpt-5.2-thinking-high</v>
      </c>
      <c r="C30" s="4" t="str">
        <f aca="false">'Answer Key (DO NOT VIEW)'!C28</f>
        <v>forced_choice_baseline</v>
      </c>
      <c r="D30" s="3" t="str">
        <f aca="false">'Answer Key (DO NOT VIEW)'!E28</f>
        <v>B</v>
      </c>
      <c r="E30" s="3" t="n">
        <f aca="false">'Clinician Scoring'!D29</f>
        <v>0</v>
      </c>
      <c r="F30" s="3" t="str">
        <f aca="false">IF(OR(D30="",E30=""),"",IF(D30=E30,"Yes","No"))</f>
        <v/>
      </c>
    </row>
    <row r="31" customFormat="false" ht="15" hidden="false" customHeight="false" outlineLevel="0" collapsed="false">
      <c r="A31" s="3" t="s">
        <v>62</v>
      </c>
      <c r="B31" s="4" t="str">
        <f aca="false">'Answer Key (DO NOT VIEW)'!B29</f>
        <v>gpt-5.2-thinking-high</v>
      </c>
      <c r="C31" s="4" t="str">
        <f aca="false">'Answer Key (DO NOT VIEW)'!C29</f>
        <v>free_text</v>
      </c>
      <c r="D31" s="3" t="str">
        <f aca="false">'Answer Key (DO NOT VIEW)'!E29</f>
        <v>A</v>
      </c>
      <c r="E31" s="3" t="n">
        <f aca="false">'Clinician Scoring'!D30</f>
        <v>0</v>
      </c>
      <c r="F31" s="3" t="str">
        <f aca="false">IF(OR(D31="",E31=""),"",IF(D31=E31,"Yes","No"))</f>
        <v/>
      </c>
    </row>
    <row r="32" customFormat="false" ht="15" hidden="false" customHeight="false" outlineLevel="0" collapsed="false">
      <c r="A32" s="3" t="s">
        <v>64</v>
      </c>
      <c r="B32" s="4" t="str">
        <f aca="false">'Answer Key (DO NOT VIEW)'!B30</f>
        <v>gemini-3-flash</v>
      </c>
      <c r="C32" s="4" t="str">
        <f aca="false">'Answer Key (DO NOT VIEW)'!C30</f>
        <v>all_constraints</v>
      </c>
      <c r="D32" s="3" t="str">
        <f aca="false">'Answer Key (DO NOT VIEW)'!E30</f>
        <v>A</v>
      </c>
      <c r="E32" s="3" t="n">
        <f aca="false">'Clinician Scoring'!D31</f>
        <v>0</v>
      </c>
      <c r="F32" s="3" t="str">
        <f aca="false">IF(OR(D32="",E32=""),"",IF(D32=E32,"Yes","No"))</f>
        <v/>
      </c>
    </row>
    <row r="33" customFormat="false" ht="15" hidden="false" customHeight="false" outlineLevel="0" collapsed="false">
      <c r="A33" s="3" t="s">
        <v>66</v>
      </c>
      <c r="B33" s="4" t="str">
        <f aca="false">'Answer Key (DO NOT VIEW)'!B31</f>
        <v>claude-sonnet-4.6</v>
      </c>
      <c r="C33" s="4" t="str">
        <f aca="false">'Answer Key (DO NOT VIEW)'!C31</f>
        <v>all_constraints</v>
      </c>
      <c r="D33" s="3" t="str">
        <f aca="false">'Answer Key (DO NOT VIEW)'!E31</f>
        <v>A</v>
      </c>
      <c r="E33" s="3" t="n">
        <f aca="false">'Clinician Scoring'!D32</f>
        <v>0</v>
      </c>
      <c r="F33" s="3" t="str">
        <f aca="false">IF(OR(D33="",E33=""),"",IF(D33=E33,"Yes","No"))</f>
        <v/>
      </c>
    </row>
    <row r="34" customFormat="false" ht="15" hidden="false" customHeight="false" outlineLevel="0" collapsed="false">
      <c r="A34" s="3" t="s">
        <v>68</v>
      </c>
      <c r="B34" s="4" t="str">
        <f aca="false">'Answer Key (DO NOT VIEW)'!B32</f>
        <v>gpt-5.2-thinking-high</v>
      </c>
      <c r="C34" s="4" t="str">
        <f aca="false">'Answer Key (DO NOT VIEW)'!C32</f>
        <v>all_constraints</v>
      </c>
      <c r="D34" s="3" t="str">
        <f aca="false">'Answer Key (DO NOT VIEW)'!E32</f>
        <v>B</v>
      </c>
      <c r="E34" s="3" t="n">
        <f aca="false">'Clinician Scoring'!D33</f>
        <v>0</v>
      </c>
      <c r="F34" s="3" t="str">
        <f aca="false">IF(OR(D34="",E34=""),"",IF(D34=E34,"Yes","No"))</f>
        <v/>
      </c>
    </row>
    <row r="35" customFormat="false" ht="15" hidden="false" customHeight="false" outlineLevel="0" collapsed="false">
      <c r="A35" s="3" t="s">
        <v>70</v>
      </c>
      <c r="B35" s="4" t="str">
        <f aca="false">'Answer Key (DO NOT VIEW)'!B33</f>
        <v>claude-opus-4.6</v>
      </c>
      <c r="C35" s="4" t="str">
        <f aca="false">'Answer Key (DO NOT VIEW)'!C33</f>
        <v>forced_choice_baseline</v>
      </c>
      <c r="D35" s="3" t="str">
        <f aca="false">'Answer Key (DO NOT VIEW)'!E33</f>
        <v>A</v>
      </c>
      <c r="E35" s="3" t="n">
        <f aca="false">'Clinician Scoring'!D34</f>
        <v>0</v>
      </c>
      <c r="F35" s="3" t="str">
        <f aca="false">IF(OR(D35="",E35=""),"",IF(D35=E35,"Yes","No"))</f>
        <v/>
      </c>
    </row>
    <row r="36" customFormat="false" ht="15" hidden="false" customHeight="false" outlineLevel="0" collapsed="false">
      <c r="A36" s="3" t="s">
        <v>72</v>
      </c>
      <c r="B36" s="4" t="str">
        <f aca="false">'Answer Key (DO NOT VIEW)'!B34</f>
        <v>claude-opus-4.6</v>
      </c>
      <c r="C36" s="4" t="str">
        <f aca="false">'Answer Key (DO NOT VIEW)'!C34</f>
        <v>all_constraints</v>
      </c>
      <c r="D36" s="3" t="str">
        <f aca="false">'Answer Key (DO NOT VIEW)'!E34</f>
        <v>A</v>
      </c>
      <c r="E36" s="3" t="n">
        <f aca="false">'Clinician Scoring'!D35</f>
        <v>0</v>
      </c>
      <c r="F36" s="3" t="str">
        <f aca="false">IF(OR(D36="",E36=""),"",IF(D36=E36,"Yes","No"))</f>
        <v/>
      </c>
    </row>
    <row r="37" customFormat="false" ht="15" hidden="false" customHeight="false" outlineLevel="0" collapsed="false">
      <c r="A37" s="3" t="s">
        <v>74</v>
      </c>
      <c r="B37" s="4" t="str">
        <f aca="false">'Answer Key (DO NOT VIEW)'!B35</f>
        <v>claude-sonnet-4.6</v>
      </c>
      <c r="C37" s="4" t="str">
        <f aca="false">'Answer Key (DO NOT VIEW)'!C35</f>
        <v>free_text</v>
      </c>
      <c r="D37" s="3" t="str">
        <f aca="false">'Answer Key (DO NOT VIEW)'!E35</f>
        <v>A</v>
      </c>
      <c r="E37" s="3" t="n">
        <f aca="false">'Clinician Scoring'!D36</f>
        <v>0</v>
      </c>
      <c r="F37" s="3" t="str">
        <f aca="false">IF(OR(D37="",E37=""),"",IF(D37=E37,"Yes","No"))</f>
        <v/>
      </c>
    </row>
    <row r="38" customFormat="false" ht="15" hidden="false" customHeight="false" outlineLevel="0" collapsed="false">
      <c r="A38" s="3" t="s">
        <v>76</v>
      </c>
      <c r="B38" s="4" t="str">
        <f aca="false">'Answer Key (DO NOT VIEW)'!B36</f>
        <v>gemini-3-flash</v>
      </c>
      <c r="C38" s="4" t="str">
        <f aca="false">'Answer Key (DO NOT VIEW)'!C36</f>
        <v>forced_choice_baseline</v>
      </c>
      <c r="D38" s="3" t="str">
        <f aca="false">'Answer Key (DO NOT VIEW)'!E36</f>
        <v>B</v>
      </c>
      <c r="E38" s="3" t="n">
        <f aca="false">'Clinician Scoring'!D37</f>
        <v>0</v>
      </c>
      <c r="F38" s="3" t="str">
        <f aca="false">IF(OR(D38="",E38=""),"",IF(D38=E38,"Yes","No"))</f>
        <v/>
      </c>
    </row>
    <row r="39" customFormat="false" ht="15" hidden="false" customHeight="false" outlineLevel="0" collapsed="false">
      <c r="A39" s="3" t="s">
        <v>78</v>
      </c>
      <c r="B39" s="4" t="str">
        <f aca="false">'Answer Key (DO NOT VIEW)'!B37</f>
        <v>claude-opus-4.6</v>
      </c>
      <c r="C39" s="4" t="str">
        <f aca="false">'Answer Key (DO NOT VIEW)'!C37</f>
        <v>forced_choice_baseline</v>
      </c>
      <c r="D39" s="3" t="str">
        <f aca="false">'Answer Key (DO NOT VIEW)'!E37</f>
        <v>A</v>
      </c>
      <c r="E39" s="3" t="n">
        <f aca="false">'Clinician Scoring'!D38</f>
        <v>0</v>
      </c>
      <c r="F39" s="3" t="str">
        <f aca="false">IF(OR(D39="",E39=""),"",IF(D39=E39,"Yes","No"))</f>
        <v/>
      </c>
    </row>
    <row r="41" customFormat="false" ht="15" hidden="false" customHeight="false" outlineLevel="0" collapsed="false">
      <c r="A41" s="15" t="s">
        <v>116</v>
      </c>
    </row>
    <row r="42" customFormat="false" ht="15" hidden="false" customHeight="false" outlineLevel="0" collapsed="false">
      <c r="A42" s="12" t="s">
        <v>117</v>
      </c>
      <c r="B42" s="0" t="n">
        <f aca="false">COUNTA(F4:F39)-COUNTIF(F4:F39,"")</f>
        <v>0</v>
      </c>
    </row>
    <row r="43" customFormat="false" ht="15" hidden="false" customHeight="false" outlineLevel="0" collapsed="false">
      <c r="A43" s="12" t="s">
        <v>118</v>
      </c>
      <c r="B43" s="0" t="n">
        <f aca="false">COUNTIF(F4:F39,"Yes")</f>
        <v>0</v>
      </c>
    </row>
    <row r="44" customFormat="false" ht="15" hidden="false" customHeight="false" outlineLevel="0" collapsed="false">
      <c r="A44" s="12" t="s">
        <v>119</v>
      </c>
      <c r="B44" s="16" t="str">
        <f aca="false">IF(B42=0,"",B43/B42)</f>
        <v/>
      </c>
    </row>
    <row r="45" customFormat="false" ht="15" hidden="false" customHeight="false" outlineLevel="0" collapsed="false">
      <c r="A45" s="12"/>
    </row>
    <row r="46" customFormat="false" ht="15" hidden="false" customHeight="false" outlineLevel="0" collapsed="false">
      <c r="A46" s="12" t="s">
        <v>120</v>
      </c>
    </row>
    <row r="47" customFormat="false" ht="15" hidden="false" customHeight="false" outlineLevel="0" collapsed="false">
      <c r="A47" s="12" t="s">
        <v>121</v>
      </c>
      <c r="B47" s="0" t="n">
        <f aca="false">SUMPRODUCT((C4:C39="forced_choice_baseline")*(F4:F39="Yes"))</f>
        <v>0</v>
      </c>
    </row>
    <row r="48" customFormat="false" ht="15" hidden="false" customHeight="false" outlineLevel="0" collapsed="false">
      <c r="A48" s="12" t="s">
        <v>122</v>
      </c>
      <c r="B48" s="0" t="n">
        <f aca="false">SUMPRODUCT((C4:C39="free_text")*(F4:F39="Yes"))</f>
        <v>0</v>
      </c>
    </row>
    <row r="49" customFormat="false" ht="15" hidden="false" customHeight="false" outlineLevel="0" collapsed="false">
      <c r="A49" s="12" t="s">
        <v>123</v>
      </c>
      <c r="B49" s="0" t="n">
        <f aca="false">SUMPRODUCT((C4:C39="all_constraints")*(F4:F39="Yes"))</f>
        <v>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2026-02-27T12:16:03Z</dcterms:created>
  <dc:creator>openpyxl</dc:creator>
  <dc:description/>
  <dc:language>en-US</dc:language>
  <cp:lastModifiedBy/>
  <dcterms:modified xsi:type="dcterms:W3CDTF">2026-02-27T12:16:03Z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